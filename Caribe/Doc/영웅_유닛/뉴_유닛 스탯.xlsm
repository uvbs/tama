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현재_통합_문서" defaultThemeVersion="124226"/>
  <bookViews>
    <workbookView xWindow="12030" yWindow="60" windowWidth="16770" windowHeight="14130" activeTab="4"/>
  </bookViews>
  <sheets>
    <sheet name="Sheet1" sheetId="1" r:id="rId1"/>
    <sheet name="유닛스탯" sheetId="2" r:id="rId2"/>
    <sheet name="Sheet2" sheetId="7" r:id="rId3"/>
    <sheet name="Sheet3" sheetId="8" r:id="rId4"/>
    <sheet name="영웅스탯" sheetId="3" r:id="rId5"/>
    <sheet name="매칭-전투력" sheetId="4" r:id="rId6"/>
    <sheet name="매트릭스" sheetId="5" r:id="rId7"/>
    <sheet name="전투력 매트릭스" sheetId="6" r:id="rId8"/>
    <sheet name="Sheet4" sheetId="9" r:id="rId9"/>
  </sheets>
  <functionGroups builtInGroupCount="18"/>
  <definedNames>
    <definedName name="base_score">'전투력 매트릭스'!$D$2</definedName>
    <definedName name="base_stat">매트릭스!$B$42</definedName>
    <definedName name="base_stat1">매트릭스!$B$22</definedName>
    <definedName name="point_per_hlevel">'매칭-전투력'!$K$14</definedName>
    <definedName name="squad_dps">매트릭스!$C$82</definedName>
    <definedName name="unit_dps">매트릭스!$C$2</definedName>
  </definedNames>
  <calcPr calcId="152511"/>
</workbook>
</file>

<file path=xl/calcChain.xml><?xml version="1.0" encoding="utf-8"?>
<calcChain xmlns="http://schemas.openxmlformats.org/spreadsheetml/2006/main">
  <c r="Q40" i="3" l="1"/>
  <c r="P40" i="3"/>
  <c r="O40" i="3"/>
  <c r="N40" i="3"/>
  <c r="M40" i="3"/>
  <c r="Q39" i="3"/>
  <c r="P39" i="3"/>
  <c r="O39" i="3"/>
  <c r="N39" i="3"/>
  <c r="M39" i="3"/>
  <c r="Q38" i="3"/>
  <c r="P38" i="3"/>
  <c r="O38" i="3"/>
  <c r="N38" i="3"/>
  <c r="M38" i="3"/>
  <c r="Q37" i="3"/>
  <c r="P37" i="3"/>
  <c r="O37" i="3"/>
  <c r="N37" i="3"/>
  <c r="M37" i="3"/>
  <c r="Q36" i="3"/>
  <c r="P36" i="3"/>
  <c r="O36" i="3"/>
  <c r="N36" i="3"/>
  <c r="M36" i="3"/>
  <c r="Q35" i="3"/>
  <c r="P35" i="3"/>
  <c r="O35" i="3"/>
  <c r="N35" i="3"/>
  <c r="M35" i="3"/>
  <c r="Q34" i="3"/>
  <c r="P34" i="3"/>
  <c r="O34" i="3"/>
  <c r="N34" i="3"/>
  <c r="M34" i="3"/>
  <c r="Q33" i="3"/>
  <c r="P33" i="3"/>
  <c r="O33" i="3"/>
  <c r="N33" i="3"/>
  <c r="M33" i="3"/>
  <c r="Q32" i="3"/>
  <c r="P32" i="3"/>
  <c r="O32" i="3"/>
  <c r="N32" i="3"/>
  <c r="M32" i="3"/>
  <c r="Q31" i="3"/>
  <c r="P31" i="3"/>
  <c r="O31" i="3"/>
  <c r="N31" i="3"/>
  <c r="M31" i="3"/>
  <c r="Q30" i="3"/>
  <c r="P30" i="3"/>
  <c r="O30" i="3"/>
  <c r="N30" i="3"/>
  <c r="M30" i="3"/>
  <c r="I47" i="3" l="1"/>
  <c r="I48" i="3"/>
  <c r="I49" i="3"/>
  <c r="I50" i="3"/>
  <c r="I51" i="3"/>
  <c r="O51" i="3" s="1"/>
  <c r="I52" i="3"/>
  <c r="I53" i="3"/>
  <c r="O53" i="3" s="1"/>
  <c r="I54" i="3"/>
  <c r="O54" i="3" s="1"/>
  <c r="I55" i="3"/>
  <c r="I56" i="3"/>
  <c r="I46" i="3"/>
  <c r="O46" i="3"/>
  <c r="N46" i="3"/>
  <c r="Q46" i="3"/>
  <c r="O49" i="3"/>
  <c r="P49" i="3"/>
  <c r="Q49" i="3"/>
  <c r="Q51" i="3"/>
  <c r="Q52" i="3"/>
  <c r="N56" i="3"/>
  <c r="Q56" i="3"/>
  <c r="M52" i="3"/>
  <c r="M53" i="3"/>
  <c r="M54" i="3"/>
  <c r="H46" i="3"/>
  <c r="J46" i="3"/>
  <c r="P46" i="3" s="1"/>
  <c r="K46" i="3"/>
  <c r="L46" i="3"/>
  <c r="H47" i="3"/>
  <c r="N47" i="3" s="1"/>
  <c r="O47" i="3"/>
  <c r="J47" i="3"/>
  <c r="P47" i="3" s="1"/>
  <c r="K47" i="3"/>
  <c r="Q47" i="3" s="1"/>
  <c r="L47" i="3"/>
  <c r="H48" i="3"/>
  <c r="N48" i="3" s="1"/>
  <c r="O48" i="3"/>
  <c r="J48" i="3"/>
  <c r="P48" i="3" s="1"/>
  <c r="K48" i="3"/>
  <c r="Q48" i="3" s="1"/>
  <c r="L48" i="3"/>
  <c r="H49" i="3"/>
  <c r="N49" i="3" s="1"/>
  <c r="J49" i="3"/>
  <c r="K49" i="3"/>
  <c r="L49" i="3"/>
  <c r="H50" i="3"/>
  <c r="N50" i="3" s="1"/>
  <c r="O50" i="3"/>
  <c r="J50" i="3"/>
  <c r="P50" i="3" s="1"/>
  <c r="K50" i="3"/>
  <c r="Q50" i="3" s="1"/>
  <c r="L50" i="3"/>
  <c r="H51" i="3"/>
  <c r="N51" i="3" s="1"/>
  <c r="J51" i="3"/>
  <c r="P51" i="3" s="1"/>
  <c r="K51" i="3"/>
  <c r="L51" i="3"/>
  <c r="H52" i="3"/>
  <c r="N52" i="3" s="1"/>
  <c r="O52" i="3"/>
  <c r="J52" i="3"/>
  <c r="P52" i="3" s="1"/>
  <c r="K52" i="3"/>
  <c r="L52" i="3"/>
  <c r="H53" i="3"/>
  <c r="N53" i="3" s="1"/>
  <c r="J53" i="3"/>
  <c r="P53" i="3" s="1"/>
  <c r="K53" i="3"/>
  <c r="Q53" i="3" s="1"/>
  <c r="L53" i="3"/>
  <c r="H54" i="3"/>
  <c r="N54" i="3" s="1"/>
  <c r="J54" i="3"/>
  <c r="P54" i="3" s="1"/>
  <c r="K54" i="3"/>
  <c r="Q54" i="3" s="1"/>
  <c r="L54" i="3"/>
  <c r="H55" i="3"/>
  <c r="N55" i="3" s="1"/>
  <c r="O55" i="3"/>
  <c r="J55" i="3"/>
  <c r="P55" i="3" s="1"/>
  <c r="K55" i="3"/>
  <c r="Q55" i="3" s="1"/>
  <c r="L55" i="3"/>
  <c r="H56" i="3"/>
  <c r="O56" i="3"/>
  <c r="J56" i="3"/>
  <c r="P56" i="3" s="1"/>
  <c r="K56" i="3"/>
  <c r="L56" i="3"/>
  <c r="G47" i="3"/>
  <c r="M47" i="3" s="1"/>
  <c r="G48" i="3"/>
  <c r="M48" i="3" s="1"/>
  <c r="G49" i="3"/>
  <c r="M49" i="3" s="1"/>
  <c r="G50" i="3"/>
  <c r="M50" i="3" s="1"/>
  <c r="G51" i="3"/>
  <c r="M51" i="3" s="1"/>
  <c r="G52" i="3"/>
  <c r="G53" i="3"/>
  <c r="G54" i="3"/>
  <c r="G55" i="3"/>
  <c r="M55" i="3" s="1"/>
  <c r="G56" i="3"/>
  <c r="M56" i="3" s="1"/>
  <c r="G46" i="3"/>
  <c r="M46" i="3" s="1"/>
  <c r="I30" i="3"/>
  <c r="H30" i="3"/>
  <c r="J30" i="3"/>
  <c r="K30" i="3"/>
  <c r="L30" i="3"/>
  <c r="H31" i="3"/>
  <c r="I31" i="3"/>
  <c r="J31" i="3"/>
  <c r="K31" i="3"/>
  <c r="L31" i="3"/>
  <c r="H32" i="3"/>
  <c r="I32" i="3"/>
  <c r="J32" i="3"/>
  <c r="K32" i="3"/>
  <c r="L32" i="3"/>
  <c r="H33" i="3"/>
  <c r="I33" i="3"/>
  <c r="J33" i="3"/>
  <c r="K33" i="3"/>
  <c r="L33" i="3"/>
  <c r="H34" i="3"/>
  <c r="I34" i="3"/>
  <c r="J34" i="3"/>
  <c r="K34" i="3"/>
  <c r="L34" i="3"/>
  <c r="H35" i="3"/>
  <c r="I35" i="3"/>
  <c r="J35" i="3"/>
  <c r="K35" i="3"/>
  <c r="L35" i="3"/>
  <c r="H36" i="3"/>
  <c r="I36" i="3"/>
  <c r="J36" i="3"/>
  <c r="K36" i="3"/>
  <c r="L36" i="3"/>
  <c r="H37" i="3"/>
  <c r="I37" i="3"/>
  <c r="J37" i="3"/>
  <c r="K37" i="3"/>
  <c r="L37" i="3"/>
  <c r="H38" i="3"/>
  <c r="I38" i="3"/>
  <c r="J38" i="3"/>
  <c r="K38" i="3"/>
  <c r="L38" i="3"/>
  <c r="H39" i="3"/>
  <c r="I39" i="3"/>
  <c r="J39" i="3"/>
  <c r="K39" i="3"/>
  <c r="L39" i="3"/>
  <c r="H40" i="3"/>
  <c r="I40" i="3"/>
  <c r="J40" i="3"/>
  <c r="K40" i="3"/>
  <c r="L40" i="3"/>
  <c r="G31" i="3"/>
  <c r="G32" i="3"/>
  <c r="G33" i="3"/>
  <c r="G34" i="3"/>
  <c r="G35" i="3"/>
  <c r="G36" i="3"/>
  <c r="G37" i="3"/>
  <c r="G38" i="3"/>
  <c r="G39" i="3"/>
  <c r="G40" i="3"/>
  <c r="G30" i="3"/>
  <c r="C19" i="9" l="1"/>
  <c r="E19" i="9" s="1"/>
  <c r="C18" i="9"/>
  <c r="E18" i="9" s="1"/>
  <c r="C17" i="9"/>
  <c r="D17" i="9" s="1"/>
  <c r="E16" i="9"/>
  <c r="D16" i="9"/>
  <c r="C16" i="9"/>
  <c r="C15" i="9"/>
  <c r="E15" i="9" s="1"/>
  <c r="E14" i="9"/>
  <c r="C14" i="9"/>
  <c r="D14" i="9" s="1"/>
  <c r="C13" i="9"/>
  <c r="D13" i="9" s="1"/>
  <c r="E12" i="9"/>
  <c r="D12" i="9"/>
  <c r="C12" i="9"/>
  <c r="C11" i="9"/>
  <c r="E11" i="9" s="1"/>
  <c r="D8" i="9"/>
  <c r="F19" i="9" s="1"/>
  <c r="G19" i="9" s="1"/>
  <c r="H19" i="9" s="1"/>
  <c r="D7" i="9"/>
  <c r="F18" i="9" s="1"/>
  <c r="G18" i="9" s="1"/>
  <c r="H18" i="9" s="1"/>
  <c r="D6" i="9"/>
  <c r="F14" i="9" s="1"/>
  <c r="G14" i="9" s="1"/>
  <c r="H14" i="9" s="1"/>
  <c r="E13" i="9" l="1"/>
  <c r="E17" i="9"/>
  <c r="D11" i="9"/>
  <c r="D15" i="9"/>
  <c r="F16" i="9"/>
  <c r="G16" i="9" s="1"/>
  <c r="H16" i="9" s="1"/>
  <c r="D19" i="9"/>
  <c r="F12" i="9"/>
  <c r="G12" i="9" s="1"/>
  <c r="H12" i="9" s="1"/>
  <c r="F13" i="9"/>
  <c r="G13" i="9" s="1"/>
  <c r="H13" i="9" s="1"/>
  <c r="F17" i="9"/>
  <c r="G17" i="9" s="1"/>
  <c r="H17" i="9" s="1"/>
  <c r="F11" i="9"/>
  <c r="G11" i="9" s="1"/>
  <c r="H11" i="9" s="1"/>
  <c r="F15" i="9"/>
  <c r="G15" i="9" s="1"/>
  <c r="H15" i="9" s="1"/>
  <c r="D18" i="9"/>
  <c r="F11" i="2"/>
  <c r="F10" i="2"/>
  <c r="F9" i="2"/>
  <c r="F8" i="2"/>
  <c r="F7" i="2"/>
  <c r="A27" i="2" s="1"/>
  <c r="F6" i="2"/>
  <c r="F5" i="2"/>
  <c r="E4" i="8" s="1"/>
  <c r="F4" i="2"/>
  <c r="A24" i="2" s="1"/>
  <c r="F3" i="2"/>
  <c r="G11" i="2"/>
  <c r="H26" i="2" s="1"/>
  <c r="G10" i="2"/>
  <c r="H25" i="2" s="1"/>
  <c r="G9" i="2"/>
  <c r="F8" i="8" s="1"/>
  <c r="G8" i="2"/>
  <c r="G7" i="2"/>
  <c r="H22" i="2" s="1"/>
  <c r="G6" i="2"/>
  <c r="F5" i="8" s="1"/>
  <c r="G5" i="2"/>
  <c r="G4" i="2"/>
  <c r="H19" i="2" s="1"/>
  <c r="G3" i="2"/>
  <c r="H18" i="2" s="1"/>
  <c r="H23" i="2"/>
  <c r="C6" i="2"/>
  <c r="B5" i="8"/>
  <c r="O5" i="8" s="1"/>
  <c r="C9" i="2"/>
  <c r="A26" i="2"/>
  <c r="A28" i="2"/>
  <c r="A30" i="2"/>
  <c r="A31" i="2"/>
  <c r="A23" i="2"/>
  <c r="C11" i="2"/>
  <c r="D10" i="2"/>
  <c r="H22" i="8"/>
  <c r="B3" i="8"/>
  <c r="C3" i="8"/>
  <c r="D3" i="8"/>
  <c r="G3" i="8"/>
  <c r="B4" i="8"/>
  <c r="C4" i="8"/>
  <c r="D4" i="8"/>
  <c r="G4" i="8"/>
  <c r="C5" i="8"/>
  <c r="D5" i="8"/>
  <c r="G5" i="8"/>
  <c r="B6" i="8"/>
  <c r="C6" i="8"/>
  <c r="D6" i="8"/>
  <c r="G6" i="8"/>
  <c r="B7" i="8"/>
  <c r="C7" i="8"/>
  <c r="D7" i="8"/>
  <c r="E7" i="8"/>
  <c r="H24" i="8" s="1"/>
  <c r="G7" i="8"/>
  <c r="C8" i="8"/>
  <c r="D8" i="8"/>
  <c r="E8" i="8"/>
  <c r="H25" i="8" s="1"/>
  <c r="G8" i="8"/>
  <c r="B9" i="8"/>
  <c r="D9" i="8"/>
  <c r="E9" i="8"/>
  <c r="O9" i="8" s="1"/>
  <c r="F9" i="8"/>
  <c r="G9" i="8"/>
  <c r="B10" i="8"/>
  <c r="C10" i="8"/>
  <c r="D10" i="8"/>
  <c r="E10" i="8"/>
  <c r="H27" i="8" s="1"/>
  <c r="G10" i="8"/>
  <c r="C2" i="8"/>
  <c r="D2" i="8"/>
  <c r="E2" i="8"/>
  <c r="H19" i="8" s="1"/>
  <c r="F2" i="8"/>
  <c r="G2" i="8"/>
  <c r="B2" i="8"/>
  <c r="A29" i="2" l="1"/>
  <c r="E6" i="8"/>
  <c r="A25" i="2"/>
  <c r="F3" i="8"/>
  <c r="F10" i="8"/>
  <c r="H24" i="2"/>
  <c r="F7" i="8"/>
  <c r="F6" i="8"/>
  <c r="H21" i="2"/>
  <c r="H20" i="2"/>
  <c r="F4" i="8"/>
  <c r="E3" i="8"/>
  <c r="O3" i="8" s="1"/>
  <c r="O7" i="8"/>
  <c r="C9" i="8"/>
  <c r="H26" i="8"/>
  <c r="O8" i="8"/>
  <c r="H21" i="8"/>
  <c r="O4" i="8"/>
  <c r="H23" i="8"/>
  <c r="O6" i="8"/>
  <c r="F12" i="8"/>
  <c r="O2" i="8"/>
  <c r="O10" i="8"/>
  <c r="H20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12" i="8"/>
  <c r="B12" i="8"/>
  <c r="K12" i="8" s="1"/>
  <c r="R33" i="8"/>
  <c r="S33" i="8"/>
  <c r="T33" i="8"/>
  <c r="U33" i="8"/>
  <c r="R34" i="8"/>
  <c r="S34" i="8"/>
  <c r="T34" i="8"/>
  <c r="U34" i="8"/>
  <c r="R35" i="8"/>
  <c r="S35" i="8"/>
  <c r="T35" i="8"/>
  <c r="U35" i="8"/>
  <c r="R36" i="8"/>
  <c r="S36" i="8"/>
  <c r="T36" i="8"/>
  <c r="U36" i="8"/>
  <c r="R37" i="8"/>
  <c r="S37" i="8"/>
  <c r="T37" i="8"/>
  <c r="U37" i="8"/>
  <c r="R38" i="8"/>
  <c r="S38" i="8"/>
  <c r="T38" i="8"/>
  <c r="U38" i="8"/>
  <c r="R39" i="8"/>
  <c r="S39" i="8"/>
  <c r="T39" i="8"/>
  <c r="U39" i="8"/>
  <c r="R40" i="8"/>
  <c r="S40" i="8"/>
  <c r="T40" i="8"/>
  <c r="U40" i="8"/>
  <c r="R41" i="8"/>
  <c r="S41" i="8"/>
  <c r="T41" i="8"/>
  <c r="U41" i="8"/>
  <c r="R42" i="8"/>
  <c r="S42" i="8"/>
  <c r="T42" i="8"/>
  <c r="U42" i="8"/>
  <c r="R43" i="8"/>
  <c r="S43" i="8"/>
  <c r="T43" i="8"/>
  <c r="U43" i="8"/>
  <c r="R44" i="8"/>
  <c r="S44" i="8"/>
  <c r="T44" i="8"/>
  <c r="U44" i="8"/>
  <c r="R45" i="8"/>
  <c r="S45" i="8"/>
  <c r="T45" i="8"/>
  <c r="U45" i="8"/>
  <c r="R46" i="8"/>
  <c r="S46" i="8"/>
  <c r="T46" i="8"/>
  <c r="U46" i="8"/>
  <c r="R47" i="8"/>
  <c r="S47" i="8"/>
  <c r="T47" i="8"/>
  <c r="U47" i="8"/>
  <c r="S32" i="8"/>
  <c r="T32" i="8"/>
  <c r="U32" i="8"/>
  <c r="R3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12" i="8"/>
  <c r="K2" i="8"/>
  <c r="B13" i="8"/>
  <c r="K13" i="8" s="1"/>
  <c r="N13" i="8" s="1"/>
  <c r="B14" i="8"/>
  <c r="K14" i="8" s="1"/>
  <c r="B15" i="8"/>
  <c r="K15" i="8" s="1"/>
  <c r="B16" i="8"/>
  <c r="K16" i="8" s="1"/>
  <c r="N16" i="8" s="1"/>
  <c r="B17" i="8"/>
  <c r="K17" i="8" s="1"/>
  <c r="B18" i="8"/>
  <c r="K18" i="8" s="1"/>
  <c r="B19" i="8"/>
  <c r="K19" i="8" s="1"/>
  <c r="N19" i="8" s="1"/>
  <c r="B20" i="8"/>
  <c r="K20" i="8" s="1"/>
  <c r="B21" i="8"/>
  <c r="K21" i="8" s="1"/>
  <c r="N21" i="8" s="1"/>
  <c r="B22" i="8"/>
  <c r="K22" i="8" s="1"/>
  <c r="B23" i="8"/>
  <c r="K23" i="8" s="1"/>
  <c r="B24" i="8"/>
  <c r="K24" i="8" s="1"/>
  <c r="N24" i="8" s="1"/>
  <c r="B25" i="8"/>
  <c r="K25" i="8" s="1"/>
  <c r="B26" i="8"/>
  <c r="K26" i="8" s="1"/>
  <c r="B27" i="8"/>
  <c r="K27" i="8" s="1"/>
  <c r="N27" i="8" s="1"/>
  <c r="P10" i="8"/>
  <c r="N10" i="8"/>
  <c r="M10" i="8"/>
  <c r="L10" i="8"/>
  <c r="K10" i="8"/>
  <c r="P9" i="8"/>
  <c r="N9" i="8"/>
  <c r="M9" i="8"/>
  <c r="L9" i="8"/>
  <c r="K9" i="8"/>
  <c r="P8" i="8"/>
  <c r="N8" i="8"/>
  <c r="M8" i="8"/>
  <c r="I12" i="8" s="1"/>
  <c r="L8" i="8"/>
  <c r="K8" i="8"/>
  <c r="P7" i="8"/>
  <c r="N7" i="8"/>
  <c r="M7" i="8"/>
  <c r="L7" i="8"/>
  <c r="K7" i="8"/>
  <c r="P6" i="8"/>
  <c r="N6" i="8"/>
  <c r="M6" i="8"/>
  <c r="L6" i="8"/>
  <c r="K6" i="8"/>
  <c r="P5" i="8"/>
  <c r="N5" i="8"/>
  <c r="M5" i="8"/>
  <c r="F14" i="8" s="1"/>
  <c r="L5" i="8"/>
  <c r="K5" i="8"/>
  <c r="P4" i="8"/>
  <c r="N4" i="8"/>
  <c r="M4" i="8"/>
  <c r="L4" i="8"/>
  <c r="K4" i="8"/>
  <c r="P3" i="8"/>
  <c r="N3" i="8"/>
  <c r="M3" i="8"/>
  <c r="L3" i="8"/>
  <c r="K3" i="8"/>
  <c r="P2" i="8"/>
  <c r="N2" i="8"/>
  <c r="M2" i="8"/>
  <c r="G12" i="8" s="1"/>
  <c r="L2" i="8"/>
  <c r="N6" i="2"/>
  <c r="N7" i="2"/>
  <c r="N8" i="2"/>
  <c r="N9" i="2"/>
  <c r="N10" i="2"/>
  <c r="N11" i="2"/>
  <c r="N4" i="2"/>
  <c r="N5" i="2"/>
  <c r="N3" i="2"/>
  <c r="L6" i="2"/>
  <c r="L7" i="2"/>
  <c r="L8" i="2"/>
  <c r="L9" i="2"/>
  <c r="L10" i="2"/>
  <c r="L11" i="2"/>
  <c r="L4" i="2"/>
  <c r="L5" i="2"/>
  <c r="L3" i="2"/>
  <c r="H120" i="4"/>
  <c r="H121" i="4"/>
  <c r="H122" i="4"/>
  <c r="H123" i="4"/>
  <c r="H124" i="4"/>
  <c r="H119" i="4"/>
  <c r="T118" i="4"/>
  <c r="T117" i="4"/>
  <c r="T116" i="4"/>
  <c r="R117" i="4"/>
  <c r="S117" i="4"/>
  <c r="R118" i="4"/>
  <c r="S118" i="4"/>
  <c r="S116" i="4"/>
  <c r="R116" i="4"/>
  <c r="N22" i="8" l="1"/>
  <c r="N14" i="8"/>
  <c r="N26" i="8"/>
  <c r="N18" i="8"/>
  <c r="L14" i="2"/>
  <c r="N25" i="8"/>
  <c r="N17" i="8"/>
  <c r="L13" i="2"/>
  <c r="D27" i="8"/>
  <c r="E27" i="8" s="1"/>
  <c r="D12" i="8"/>
  <c r="E12" i="8"/>
  <c r="H12" i="8" s="1"/>
  <c r="N12" i="8"/>
  <c r="N23" i="8"/>
  <c r="N15" i="8"/>
  <c r="N20" i="8"/>
  <c r="M32" i="8"/>
  <c r="M27" i="8"/>
  <c r="O27" i="8" s="1"/>
  <c r="M25" i="8"/>
  <c r="O25" i="8" s="1"/>
  <c r="M23" i="8"/>
  <c r="O23" i="8" s="1"/>
  <c r="M21" i="8"/>
  <c r="O21" i="8" s="1"/>
  <c r="M17" i="8"/>
  <c r="O17" i="8" s="1"/>
  <c r="M19" i="8"/>
  <c r="O19" i="8" s="1"/>
  <c r="M15" i="8"/>
  <c r="O15" i="8" s="1"/>
  <c r="M13" i="8"/>
  <c r="O13" i="8" s="1"/>
  <c r="M24" i="8"/>
  <c r="O24" i="8" s="1"/>
  <c r="M22" i="8"/>
  <c r="O22" i="8" s="1"/>
  <c r="M20" i="8"/>
  <c r="O20" i="8" s="1"/>
  <c r="M18" i="8"/>
  <c r="O18" i="8" s="1"/>
  <c r="M16" i="8"/>
  <c r="O16" i="8" s="1"/>
  <c r="M14" i="8"/>
  <c r="O14" i="8" s="1"/>
  <c r="M26" i="8"/>
  <c r="O26" i="8" s="1"/>
  <c r="M12" i="8"/>
  <c r="O12" i="8" s="1"/>
  <c r="N13" i="2"/>
  <c r="F70" i="4" l="1"/>
  <c r="F71" i="4" s="1"/>
  <c r="F72" i="4" s="1"/>
  <c r="F73" i="4" s="1"/>
  <c r="N1" i="7" l="1"/>
  <c r="O1" i="7"/>
  <c r="P1" i="7"/>
  <c r="Q1" i="7"/>
  <c r="R1" i="7"/>
  <c r="M1" i="7"/>
  <c r="R2" i="7"/>
  <c r="G6" i="7" s="1"/>
  <c r="N2" i="7"/>
  <c r="C5" i="7" s="1"/>
  <c r="O2" i="7"/>
  <c r="D8" i="7" s="1"/>
  <c r="P2" i="7"/>
  <c r="E3" i="7" s="1"/>
  <c r="Q2" i="7"/>
  <c r="F15" i="7" s="1"/>
  <c r="M2" i="7"/>
  <c r="B10" i="7" s="1"/>
  <c r="B29" i="7" l="1"/>
  <c r="E22" i="7"/>
  <c r="B2" i="7"/>
  <c r="E30" i="7"/>
  <c r="D27" i="7"/>
  <c r="B21" i="7"/>
  <c r="G25" i="7"/>
  <c r="G17" i="7"/>
  <c r="G9" i="7"/>
  <c r="C24" i="7"/>
  <c r="D19" i="7"/>
  <c r="C16" i="7"/>
  <c r="E14" i="7"/>
  <c r="B13" i="7"/>
  <c r="D11" i="7"/>
  <c r="C8" i="7"/>
  <c r="E6" i="7"/>
  <c r="B5" i="7"/>
  <c r="D3" i="7"/>
  <c r="F7" i="7"/>
  <c r="F30" i="7"/>
  <c r="F22" i="7"/>
  <c r="F14" i="7"/>
  <c r="G2" i="7"/>
  <c r="B32" i="7"/>
  <c r="D30" i="7"/>
  <c r="G28" i="7"/>
  <c r="C27" i="7"/>
  <c r="E25" i="7"/>
  <c r="B24" i="7"/>
  <c r="D22" i="7"/>
  <c r="G20" i="7"/>
  <c r="C19" i="7"/>
  <c r="E17" i="7"/>
  <c r="B16" i="7"/>
  <c r="D14" i="7"/>
  <c r="G12" i="7"/>
  <c r="C11" i="7"/>
  <c r="E9" i="7"/>
  <c r="B8" i="7"/>
  <c r="D6" i="7"/>
  <c r="G4" i="7"/>
  <c r="C3" i="7"/>
  <c r="F6" i="7"/>
  <c r="F29" i="7"/>
  <c r="F21" i="7"/>
  <c r="H21" i="7" s="1"/>
  <c r="F13" i="7"/>
  <c r="E2" i="7"/>
  <c r="G31" i="7"/>
  <c r="C30" i="7"/>
  <c r="E28" i="7"/>
  <c r="B27" i="7"/>
  <c r="D25" i="7"/>
  <c r="G23" i="7"/>
  <c r="C22" i="7"/>
  <c r="E20" i="7"/>
  <c r="B19" i="7"/>
  <c r="D17" i="7"/>
  <c r="G15" i="7"/>
  <c r="C14" i="7"/>
  <c r="E12" i="7"/>
  <c r="B11" i="7"/>
  <c r="D9" i="7"/>
  <c r="G7" i="7"/>
  <c r="C6" i="7"/>
  <c r="E4" i="7"/>
  <c r="B3" i="7"/>
  <c r="F5" i="7"/>
  <c r="I5" i="7" s="1"/>
  <c r="F28" i="7"/>
  <c r="F20" i="7"/>
  <c r="D2" i="7"/>
  <c r="E31" i="7"/>
  <c r="B30" i="7"/>
  <c r="D28" i="7"/>
  <c r="G26" i="7"/>
  <c r="C25" i="7"/>
  <c r="E23" i="7"/>
  <c r="B22" i="7"/>
  <c r="H22" i="7" s="1"/>
  <c r="D20" i="7"/>
  <c r="G18" i="7"/>
  <c r="C17" i="7"/>
  <c r="E15" i="7"/>
  <c r="B14" i="7"/>
  <c r="D12" i="7"/>
  <c r="G10" i="7"/>
  <c r="C9" i="7"/>
  <c r="E7" i="7"/>
  <c r="B6" i="7"/>
  <c r="D4" i="7"/>
  <c r="F12" i="7"/>
  <c r="F4" i="7"/>
  <c r="F27" i="7"/>
  <c r="F19" i="7"/>
  <c r="C2" i="7"/>
  <c r="D31" i="7"/>
  <c r="G29" i="7"/>
  <c r="C28" i="7"/>
  <c r="E26" i="7"/>
  <c r="B25" i="7"/>
  <c r="D23" i="7"/>
  <c r="G21" i="7"/>
  <c r="C20" i="7"/>
  <c r="I20" i="7" s="1"/>
  <c r="E18" i="7"/>
  <c r="B17" i="7"/>
  <c r="D15" i="7"/>
  <c r="G13" i="7"/>
  <c r="C12" i="7"/>
  <c r="E10" i="7"/>
  <c r="B9" i="7"/>
  <c r="D7" i="7"/>
  <c r="G5" i="7"/>
  <c r="C4" i="7"/>
  <c r="I4" i="7" s="1"/>
  <c r="F11" i="7"/>
  <c r="F3" i="7"/>
  <c r="F26" i="7"/>
  <c r="F18" i="7"/>
  <c r="C32" i="7"/>
  <c r="G32" i="7"/>
  <c r="C31" i="7"/>
  <c r="E29" i="7"/>
  <c r="B28" i="7"/>
  <c r="D26" i="7"/>
  <c r="G24" i="7"/>
  <c r="C23" i="7"/>
  <c r="E21" i="7"/>
  <c r="B20" i="7"/>
  <c r="H20" i="7" s="1"/>
  <c r="D18" i="7"/>
  <c r="G16" i="7"/>
  <c r="C15" i="7"/>
  <c r="I15" i="7" s="1"/>
  <c r="E13" i="7"/>
  <c r="B12" i="7"/>
  <c r="D10" i="7"/>
  <c r="G8" i="7"/>
  <c r="C7" i="7"/>
  <c r="E5" i="7"/>
  <c r="B4" i="7"/>
  <c r="H4" i="7" s="1"/>
  <c r="F10" i="7"/>
  <c r="H10" i="7" s="1"/>
  <c r="F2" i="7"/>
  <c r="H2" i="7" s="1"/>
  <c r="F25" i="7"/>
  <c r="F17" i="7"/>
  <c r="E32" i="7"/>
  <c r="B31" i="7"/>
  <c r="D29" i="7"/>
  <c r="G27" i="7"/>
  <c r="C26" i="7"/>
  <c r="E24" i="7"/>
  <c r="B23" i="7"/>
  <c r="D21" i="7"/>
  <c r="G19" i="7"/>
  <c r="C18" i="7"/>
  <c r="E16" i="7"/>
  <c r="B15" i="7"/>
  <c r="H15" i="7" s="1"/>
  <c r="D13" i="7"/>
  <c r="G11" i="7"/>
  <c r="C10" i="7"/>
  <c r="E8" i="7"/>
  <c r="B7" i="7"/>
  <c r="D5" i="7"/>
  <c r="G3" i="7"/>
  <c r="F9" i="7"/>
  <c r="F32" i="7"/>
  <c r="F24" i="7"/>
  <c r="F16" i="7"/>
  <c r="D32" i="7"/>
  <c r="G30" i="7"/>
  <c r="C29" i="7"/>
  <c r="I29" i="7" s="1"/>
  <c r="E27" i="7"/>
  <c r="B26" i="7"/>
  <c r="D24" i="7"/>
  <c r="G22" i="7"/>
  <c r="C21" i="7"/>
  <c r="E19" i="7"/>
  <c r="B18" i="7"/>
  <c r="D16" i="7"/>
  <c r="G14" i="7"/>
  <c r="C13" i="7"/>
  <c r="E11" i="7"/>
  <c r="F8" i="7"/>
  <c r="F31" i="7"/>
  <c r="F23" i="7"/>
  <c r="H12" i="7" l="1"/>
  <c r="I12" i="7"/>
  <c r="H28" i="7"/>
  <c r="H30" i="7"/>
  <c r="I28" i="7"/>
  <c r="H29" i="7"/>
  <c r="H26" i="7"/>
  <c r="I26" i="7"/>
  <c r="I13" i="7"/>
  <c r="I25" i="7"/>
  <c r="I14" i="7"/>
  <c r="I16" i="7"/>
  <c r="H14" i="7"/>
  <c r="I30" i="7"/>
  <c r="H19" i="7"/>
  <c r="I19" i="7"/>
  <c r="I21" i="7"/>
  <c r="I22" i="7"/>
  <c r="I10" i="7"/>
  <c r="I23" i="7"/>
  <c r="H27" i="7"/>
  <c r="H23" i="7"/>
  <c r="H25" i="7"/>
  <c r="H3" i="7"/>
  <c r="I3" i="7"/>
  <c r="H16" i="7"/>
  <c r="H5" i="7"/>
  <c r="I24" i="7"/>
  <c r="I17" i="7"/>
  <c r="I6" i="7"/>
  <c r="H32" i="7"/>
  <c r="H17" i="7"/>
  <c r="H6" i="7"/>
  <c r="H8" i="7"/>
  <c r="I8" i="7"/>
  <c r="I31" i="7"/>
  <c r="I27" i="7"/>
  <c r="I18" i="7"/>
  <c r="H31" i="7"/>
  <c r="I7" i="7"/>
  <c r="I2" i="7"/>
  <c r="I9" i="7"/>
  <c r="H11" i="7"/>
  <c r="I11" i="7"/>
  <c r="H24" i="7"/>
  <c r="H13" i="7"/>
  <c r="H18" i="7"/>
  <c r="H7" i="7"/>
  <c r="I32" i="7"/>
  <c r="H9" i="7"/>
  <c r="C66" i="4" l="1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65" i="4"/>
  <c r="Y67" i="4" l="1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66" i="4"/>
  <c r="G83" i="4" l="1"/>
  <c r="F83" i="4"/>
  <c r="G82" i="4"/>
  <c r="F82" i="4"/>
  <c r="Z78" i="6" l="1"/>
  <c r="B46" i="6"/>
  <c r="B47" i="6"/>
  <c r="B48" i="6"/>
  <c r="B49" i="6"/>
  <c r="B50" i="6"/>
  <c r="B51" i="6"/>
  <c r="B52" i="6"/>
  <c r="B53" i="6"/>
  <c r="B54" i="6"/>
  <c r="B45" i="6"/>
  <c r="M79" i="6"/>
  <c r="L79" i="6"/>
  <c r="J83" i="6"/>
  <c r="J81" i="6"/>
  <c r="J80" i="6"/>
  <c r="J79" i="6"/>
  <c r="J82" i="6"/>
  <c r="A27" i="6" l="1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B59" i="6"/>
  <c r="B60" i="6"/>
  <c r="B61" i="6"/>
  <c r="B62" i="6"/>
  <c r="B63" i="6"/>
  <c r="B64" i="6"/>
  <c r="B65" i="6"/>
  <c r="B66" i="6"/>
  <c r="B67" i="6"/>
  <c r="B58" i="6"/>
  <c r="O56" i="6"/>
  <c r="K56" i="6"/>
  <c r="O43" i="6"/>
  <c r="K43" i="6"/>
  <c r="O2" i="6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O23" i="6"/>
  <c r="E25" i="6" s="1"/>
  <c r="K23" i="6"/>
  <c r="K2" i="6"/>
  <c r="D18" i="6" s="1"/>
  <c r="P69" i="4"/>
  <c r="O69" i="4"/>
  <c r="N69" i="4"/>
  <c r="H70" i="4"/>
  <c r="H69" i="4"/>
  <c r="V66" i="4"/>
  <c r="V67" i="4"/>
  <c r="V68" i="4"/>
  <c r="V69" i="4"/>
  <c r="V65" i="4"/>
  <c r="V60" i="4"/>
  <c r="V61" i="4"/>
  <c r="V62" i="4"/>
  <c r="V59" i="4"/>
  <c r="U50" i="4"/>
  <c r="U51" i="4" s="1"/>
  <c r="C102" i="5"/>
  <c r="D102" i="5"/>
  <c r="E102" i="5"/>
  <c r="F102" i="5"/>
  <c r="G102" i="5"/>
  <c r="H102" i="5"/>
  <c r="I102" i="5"/>
  <c r="J102" i="5"/>
  <c r="K102" i="5"/>
  <c r="L102" i="5"/>
  <c r="C103" i="5"/>
  <c r="D103" i="5"/>
  <c r="E103" i="5"/>
  <c r="F103" i="5"/>
  <c r="G103" i="5"/>
  <c r="H103" i="5"/>
  <c r="I103" i="5"/>
  <c r="J103" i="5"/>
  <c r="K103" i="5"/>
  <c r="L103" i="5"/>
  <c r="C104" i="5"/>
  <c r="D104" i="5"/>
  <c r="E104" i="5"/>
  <c r="F104" i="5"/>
  <c r="G104" i="5"/>
  <c r="H104" i="5"/>
  <c r="I104" i="5"/>
  <c r="J104" i="5"/>
  <c r="K104" i="5"/>
  <c r="L104" i="5"/>
  <c r="C105" i="5"/>
  <c r="D105" i="5"/>
  <c r="E105" i="5"/>
  <c r="F105" i="5"/>
  <c r="G105" i="5"/>
  <c r="H105" i="5"/>
  <c r="I105" i="5"/>
  <c r="J105" i="5"/>
  <c r="K105" i="5"/>
  <c r="L105" i="5"/>
  <c r="C106" i="5"/>
  <c r="D106" i="5"/>
  <c r="E106" i="5"/>
  <c r="F106" i="5"/>
  <c r="G106" i="5"/>
  <c r="H106" i="5"/>
  <c r="I106" i="5"/>
  <c r="J106" i="5"/>
  <c r="K106" i="5"/>
  <c r="L106" i="5"/>
  <c r="C107" i="5"/>
  <c r="D107" i="5"/>
  <c r="E107" i="5"/>
  <c r="F107" i="5"/>
  <c r="G107" i="5"/>
  <c r="H107" i="5"/>
  <c r="I107" i="5"/>
  <c r="J107" i="5"/>
  <c r="K107" i="5"/>
  <c r="L107" i="5"/>
  <c r="C108" i="5"/>
  <c r="D108" i="5"/>
  <c r="E108" i="5"/>
  <c r="F108" i="5"/>
  <c r="G108" i="5"/>
  <c r="H108" i="5"/>
  <c r="I108" i="5"/>
  <c r="J108" i="5"/>
  <c r="K108" i="5"/>
  <c r="L108" i="5"/>
  <c r="C109" i="5"/>
  <c r="D109" i="5"/>
  <c r="E109" i="5"/>
  <c r="F109" i="5"/>
  <c r="G109" i="5"/>
  <c r="H109" i="5"/>
  <c r="I109" i="5"/>
  <c r="J109" i="5"/>
  <c r="K109" i="5"/>
  <c r="L109" i="5"/>
  <c r="C110" i="5"/>
  <c r="D110" i="5"/>
  <c r="E110" i="5"/>
  <c r="F110" i="5"/>
  <c r="G110" i="5"/>
  <c r="H110" i="5"/>
  <c r="I110" i="5"/>
  <c r="J110" i="5"/>
  <c r="K110" i="5"/>
  <c r="L110" i="5"/>
  <c r="C111" i="5"/>
  <c r="D111" i="5"/>
  <c r="E111" i="5"/>
  <c r="F111" i="5"/>
  <c r="G111" i="5"/>
  <c r="H111" i="5"/>
  <c r="I111" i="5"/>
  <c r="J111" i="5"/>
  <c r="K111" i="5"/>
  <c r="L111" i="5"/>
  <c r="C112" i="5"/>
  <c r="D112" i="5"/>
  <c r="E112" i="5"/>
  <c r="F112" i="5"/>
  <c r="G112" i="5"/>
  <c r="H112" i="5"/>
  <c r="I112" i="5"/>
  <c r="J112" i="5"/>
  <c r="K112" i="5"/>
  <c r="L112" i="5"/>
  <c r="C113" i="5"/>
  <c r="D113" i="5"/>
  <c r="E113" i="5"/>
  <c r="F113" i="5"/>
  <c r="G113" i="5"/>
  <c r="H113" i="5"/>
  <c r="I113" i="5"/>
  <c r="J113" i="5"/>
  <c r="K113" i="5"/>
  <c r="L113" i="5"/>
  <c r="C114" i="5"/>
  <c r="D114" i="5"/>
  <c r="E114" i="5"/>
  <c r="F114" i="5"/>
  <c r="G114" i="5"/>
  <c r="H114" i="5"/>
  <c r="I114" i="5"/>
  <c r="J114" i="5"/>
  <c r="K114" i="5"/>
  <c r="L114" i="5"/>
  <c r="C115" i="5"/>
  <c r="D115" i="5"/>
  <c r="E115" i="5"/>
  <c r="F115" i="5"/>
  <c r="G115" i="5"/>
  <c r="H115" i="5"/>
  <c r="I115" i="5"/>
  <c r="J115" i="5"/>
  <c r="K115" i="5"/>
  <c r="L115" i="5"/>
  <c r="C116" i="5"/>
  <c r="D116" i="5"/>
  <c r="E116" i="5"/>
  <c r="F116" i="5"/>
  <c r="G116" i="5"/>
  <c r="H116" i="5"/>
  <c r="I116" i="5"/>
  <c r="J116" i="5"/>
  <c r="K116" i="5"/>
  <c r="L116" i="5"/>
  <c r="D101" i="5"/>
  <c r="E101" i="5"/>
  <c r="F101" i="5"/>
  <c r="G101" i="5"/>
  <c r="H101" i="5"/>
  <c r="I101" i="5"/>
  <c r="J101" i="5"/>
  <c r="K101" i="5"/>
  <c r="L101" i="5"/>
  <c r="C101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C87" i="5"/>
  <c r="C88" i="5"/>
  <c r="C89" i="5"/>
  <c r="C90" i="5"/>
  <c r="C91" i="5"/>
  <c r="C92" i="5"/>
  <c r="C93" i="5"/>
  <c r="C94" i="5"/>
  <c r="C95" i="5"/>
  <c r="C86" i="5"/>
  <c r="C2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I70" i="4" l="1"/>
  <c r="E37" i="6"/>
  <c r="D26" i="6"/>
  <c r="E27" i="6"/>
  <c r="E26" i="6"/>
  <c r="D33" i="6"/>
  <c r="D32" i="6"/>
  <c r="E33" i="6"/>
  <c r="D31" i="6"/>
  <c r="E32" i="6"/>
  <c r="D29" i="6"/>
  <c r="E30" i="6"/>
  <c r="D28" i="6"/>
  <c r="E29" i="6"/>
  <c r="D27" i="6"/>
  <c r="E28" i="6"/>
  <c r="E31" i="6"/>
  <c r="D34" i="6"/>
  <c r="E35" i="6"/>
  <c r="E34" i="6"/>
  <c r="D41" i="6"/>
  <c r="D40" i="6"/>
  <c r="E41" i="6"/>
  <c r="D39" i="6"/>
  <c r="E40" i="6"/>
  <c r="D38" i="6"/>
  <c r="E39" i="6"/>
  <c r="D30" i="6"/>
  <c r="D37" i="6"/>
  <c r="E38" i="6"/>
  <c r="D35" i="6"/>
  <c r="E36" i="6"/>
  <c r="D36" i="6"/>
  <c r="E10" i="6"/>
  <c r="D14" i="6"/>
  <c r="D19" i="6"/>
  <c r="D17" i="6"/>
  <c r="D13" i="6"/>
  <c r="D10" i="6"/>
  <c r="D9" i="6"/>
  <c r="F25" i="6"/>
  <c r="F37" i="6" s="1"/>
  <c r="E18" i="6"/>
  <c r="E13" i="6"/>
  <c r="E9" i="6"/>
  <c r="E12" i="6"/>
  <c r="D8" i="6"/>
  <c r="E16" i="6"/>
  <c r="D12" i="6"/>
  <c r="D7" i="6"/>
  <c r="D21" i="6"/>
  <c r="D16" i="6"/>
  <c r="E11" i="6"/>
  <c r="D6" i="6"/>
  <c r="E20" i="6"/>
  <c r="D15" i="6"/>
  <c r="D11" i="6"/>
  <c r="D20" i="6"/>
  <c r="E14" i="6"/>
  <c r="E7" i="6"/>
  <c r="E21" i="6"/>
  <c r="E19" i="6"/>
  <c r="E17" i="6"/>
  <c r="E15" i="6"/>
  <c r="E6" i="6"/>
  <c r="E8" i="6"/>
  <c r="H71" i="4"/>
  <c r="I71" i="4" s="1"/>
  <c r="E52" i="6" l="1"/>
  <c r="E45" i="6"/>
  <c r="E53" i="6"/>
  <c r="E46" i="6"/>
  <c r="E54" i="6"/>
  <c r="E47" i="6"/>
  <c r="E48" i="6"/>
  <c r="E49" i="6"/>
  <c r="E50" i="6"/>
  <c r="E51" i="6"/>
  <c r="D51" i="6"/>
  <c r="D52" i="6"/>
  <c r="D53" i="6"/>
  <c r="D46" i="6"/>
  <c r="D54" i="6"/>
  <c r="D47" i="6"/>
  <c r="D45" i="6"/>
  <c r="D48" i="6"/>
  <c r="D49" i="6"/>
  <c r="D50" i="6"/>
  <c r="F29" i="6"/>
  <c r="F27" i="6"/>
  <c r="F30" i="6"/>
  <c r="F41" i="6"/>
  <c r="F40" i="6"/>
  <c r="F39" i="6"/>
  <c r="F26" i="6"/>
  <c r="F35" i="6"/>
  <c r="F34" i="6"/>
  <c r="F36" i="6"/>
  <c r="F32" i="6"/>
  <c r="F33" i="6"/>
  <c r="E61" i="6"/>
  <c r="E58" i="6"/>
  <c r="E66" i="6"/>
  <c r="E63" i="6"/>
  <c r="E60" i="6"/>
  <c r="E62" i="6"/>
  <c r="E59" i="6"/>
  <c r="E67" i="6"/>
  <c r="E64" i="6"/>
  <c r="E65" i="6"/>
  <c r="F31" i="6"/>
  <c r="F28" i="6"/>
  <c r="F38" i="6"/>
  <c r="D58" i="6"/>
  <c r="D66" i="6"/>
  <c r="D63" i="6"/>
  <c r="D60" i="6"/>
  <c r="D65" i="6"/>
  <c r="D59" i="6"/>
  <c r="D67" i="6"/>
  <c r="D64" i="6"/>
  <c r="D61" i="6"/>
  <c r="D62" i="6"/>
  <c r="G25" i="6"/>
  <c r="F7" i="6"/>
  <c r="F16" i="6"/>
  <c r="F18" i="6"/>
  <c r="F20" i="6"/>
  <c r="F12" i="6"/>
  <c r="F14" i="6"/>
  <c r="F10" i="6"/>
  <c r="F11" i="6"/>
  <c r="F8" i="6"/>
  <c r="F6" i="6"/>
  <c r="F15" i="6"/>
  <c r="F17" i="6"/>
  <c r="F19" i="6"/>
  <c r="F21" i="6"/>
  <c r="F9" i="6"/>
  <c r="F13" i="6"/>
  <c r="H72" i="4"/>
  <c r="I72" i="4" l="1"/>
  <c r="J72" i="4"/>
  <c r="F51" i="6"/>
  <c r="F52" i="6"/>
  <c r="F45" i="6"/>
  <c r="F53" i="6"/>
  <c r="F46" i="6"/>
  <c r="F54" i="6"/>
  <c r="F47" i="6"/>
  <c r="F48" i="6"/>
  <c r="F49" i="6"/>
  <c r="F50" i="6"/>
  <c r="G31" i="6"/>
  <c r="G29" i="6"/>
  <c r="G32" i="6"/>
  <c r="G38" i="6"/>
  <c r="G39" i="6"/>
  <c r="G41" i="6"/>
  <c r="G40" i="6"/>
  <c r="G26" i="6"/>
  <c r="G33" i="6"/>
  <c r="G28" i="6"/>
  <c r="G37" i="6"/>
  <c r="G35" i="6"/>
  <c r="G36" i="6"/>
  <c r="G34" i="6"/>
  <c r="G30" i="6"/>
  <c r="G27" i="6"/>
  <c r="F64" i="6"/>
  <c r="F61" i="6"/>
  <c r="F58" i="6"/>
  <c r="F66" i="6"/>
  <c r="F63" i="6"/>
  <c r="F65" i="6"/>
  <c r="F62" i="6"/>
  <c r="F59" i="6"/>
  <c r="F67" i="6"/>
  <c r="F60" i="6"/>
  <c r="H25" i="6"/>
  <c r="G9" i="6"/>
  <c r="G7" i="6"/>
  <c r="G16" i="6"/>
  <c r="G18" i="6"/>
  <c r="G20" i="6"/>
  <c r="G12" i="6"/>
  <c r="G15" i="6"/>
  <c r="G21" i="6"/>
  <c r="G19" i="6"/>
  <c r="G11" i="6"/>
  <c r="G13" i="6"/>
  <c r="G17" i="6"/>
  <c r="G10" i="6"/>
  <c r="G14" i="6"/>
  <c r="G6" i="6"/>
  <c r="G8" i="6"/>
  <c r="H73" i="4"/>
  <c r="I73" i="4" l="1"/>
  <c r="M69" i="4"/>
  <c r="J73" i="4"/>
  <c r="G50" i="6"/>
  <c r="G51" i="6"/>
  <c r="G52" i="6"/>
  <c r="G45" i="6"/>
  <c r="G53" i="6"/>
  <c r="G46" i="6"/>
  <c r="G54" i="6"/>
  <c r="G47" i="6"/>
  <c r="G48" i="6"/>
  <c r="G49" i="6"/>
  <c r="G59" i="6"/>
  <c r="G67" i="6"/>
  <c r="G64" i="6"/>
  <c r="G61" i="6"/>
  <c r="G58" i="6"/>
  <c r="G66" i="6"/>
  <c r="G60" i="6"/>
  <c r="G65" i="6"/>
  <c r="G62" i="6"/>
  <c r="G63" i="6"/>
  <c r="H37" i="6"/>
  <c r="H36" i="6"/>
  <c r="H35" i="6"/>
  <c r="H34" i="6"/>
  <c r="H30" i="6"/>
  <c r="H33" i="6"/>
  <c r="H38" i="6"/>
  <c r="H39" i="6"/>
  <c r="H27" i="6"/>
  <c r="H28" i="6"/>
  <c r="H31" i="6"/>
  <c r="H29" i="6"/>
  <c r="H40" i="6"/>
  <c r="H32" i="6"/>
  <c r="H41" i="6"/>
  <c r="H26" i="6"/>
  <c r="I25" i="6"/>
  <c r="H19" i="6"/>
  <c r="H17" i="6"/>
  <c r="H13" i="6"/>
  <c r="H18" i="6"/>
  <c r="H8" i="6"/>
  <c r="H21" i="6"/>
  <c r="H20" i="6"/>
  <c r="H9" i="6"/>
  <c r="H12" i="6"/>
  <c r="H14" i="6"/>
  <c r="H7" i="6"/>
  <c r="H11" i="6"/>
  <c r="H15" i="6"/>
  <c r="H16" i="6"/>
  <c r="H10" i="6"/>
  <c r="H6" i="6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C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C62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C44" i="5"/>
  <c r="C45" i="5"/>
  <c r="C43" i="5"/>
  <c r="AA26" i="5"/>
  <c r="AB26" i="5"/>
  <c r="AC26" i="5"/>
  <c r="AD26" i="5"/>
  <c r="AE26" i="5"/>
  <c r="AE42" i="5" s="1"/>
  <c r="AF26" i="5"/>
  <c r="AG26" i="5"/>
  <c r="AH26" i="5"/>
  <c r="AI26" i="5"/>
  <c r="AI42" i="5" s="1"/>
  <c r="AJ26" i="5"/>
  <c r="AJ42" i="5" s="1"/>
  <c r="AK26" i="5"/>
  <c r="AK42" i="5" s="1"/>
  <c r="AL26" i="5"/>
  <c r="AL42" i="5" s="1"/>
  <c r="AM26" i="5"/>
  <c r="AM42" i="5" s="1"/>
  <c r="AN26" i="5"/>
  <c r="AO26" i="5"/>
  <c r="AP26" i="5"/>
  <c r="AQ26" i="5"/>
  <c r="AQ42" i="5" s="1"/>
  <c r="AR26" i="5"/>
  <c r="AR42" i="5" s="1"/>
  <c r="AS26" i="5"/>
  <c r="AT26" i="5"/>
  <c r="AT42" i="5" s="1"/>
  <c r="AU26" i="5"/>
  <c r="AU42" i="5" s="1"/>
  <c r="AV26" i="5"/>
  <c r="AV42" i="5" s="1"/>
  <c r="AW26" i="5"/>
  <c r="AX26" i="5"/>
  <c r="AY26" i="5"/>
  <c r="AZ26" i="5"/>
  <c r="AZ42" i="5" s="1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AA42" i="5"/>
  <c r="AB42" i="5"/>
  <c r="AC42" i="5"/>
  <c r="AD42" i="5"/>
  <c r="AF42" i="5"/>
  <c r="AG42" i="5"/>
  <c r="AH42" i="5"/>
  <c r="AN42" i="5"/>
  <c r="AO42" i="5"/>
  <c r="AP42" i="5"/>
  <c r="AS42" i="5"/>
  <c r="AW42" i="5"/>
  <c r="AX42" i="5"/>
  <c r="AY42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26" i="5"/>
  <c r="W5" i="4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V5" i="4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U5" i="4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N71" i="4" l="1"/>
  <c r="M71" i="4"/>
  <c r="H49" i="6"/>
  <c r="H50" i="6"/>
  <c r="H51" i="6"/>
  <c r="H52" i="6"/>
  <c r="H45" i="6"/>
  <c r="H53" i="6"/>
  <c r="H46" i="6"/>
  <c r="H54" i="6"/>
  <c r="H47" i="6"/>
  <c r="H48" i="6"/>
  <c r="I28" i="6"/>
  <c r="I26" i="6"/>
  <c r="I39" i="6"/>
  <c r="I32" i="6"/>
  <c r="I41" i="6"/>
  <c r="I29" i="6"/>
  <c r="I30" i="6"/>
  <c r="I33" i="6"/>
  <c r="I38" i="6"/>
  <c r="I37" i="6"/>
  <c r="I36" i="6"/>
  <c r="I35" i="6"/>
  <c r="I34" i="6"/>
  <c r="I27" i="6"/>
  <c r="I31" i="6"/>
  <c r="I40" i="6"/>
  <c r="H62" i="6"/>
  <c r="H59" i="6"/>
  <c r="H67" i="6"/>
  <c r="H64" i="6"/>
  <c r="H61" i="6"/>
  <c r="H63" i="6"/>
  <c r="H60" i="6"/>
  <c r="H65" i="6"/>
  <c r="H58" i="6"/>
  <c r="H66" i="6"/>
  <c r="J25" i="6"/>
  <c r="I6" i="6"/>
  <c r="I19" i="6"/>
  <c r="I10" i="6"/>
  <c r="I9" i="6"/>
  <c r="I13" i="6"/>
  <c r="I12" i="6"/>
  <c r="I7" i="6"/>
  <c r="I17" i="6"/>
  <c r="I8" i="6"/>
  <c r="I14" i="6"/>
  <c r="I21" i="6"/>
  <c r="I16" i="6"/>
  <c r="I18" i="6"/>
  <c r="I20" i="6"/>
  <c r="I11" i="6"/>
  <c r="I15" i="6"/>
  <c r="AH69" i="5"/>
  <c r="AH77" i="5"/>
  <c r="AH72" i="5"/>
  <c r="AH70" i="5"/>
  <c r="AH73" i="5"/>
  <c r="AH66" i="5"/>
  <c r="AH75" i="5"/>
  <c r="AH80" i="5"/>
  <c r="AH68" i="5"/>
  <c r="AH71" i="5"/>
  <c r="AH74" i="5"/>
  <c r="AH65" i="5"/>
  <c r="AH67" i="5"/>
  <c r="AH76" i="5"/>
  <c r="AH79" i="5"/>
  <c r="AH78" i="5"/>
  <c r="AW72" i="5"/>
  <c r="AW67" i="5"/>
  <c r="AW75" i="5"/>
  <c r="AW73" i="5"/>
  <c r="AW68" i="5"/>
  <c r="AW76" i="5"/>
  <c r="AW69" i="5"/>
  <c r="AW80" i="5"/>
  <c r="AW78" i="5"/>
  <c r="AW71" i="5"/>
  <c r="AW74" i="5"/>
  <c r="AW70" i="5"/>
  <c r="AW79" i="5"/>
  <c r="AW65" i="5"/>
  <c r="AW77" i="5"/>
  <c r="AW66" i="5"/>
  <c r="AG72" i="5"/>
  <c r="AG67" i="5"/>
  <c r="AG75" i="5"/>
  <c r="AG73" i="5"/>
  <c r="AG68" i="5"/>
  <c r="AG76" i="5"/>
  <c r="AG69" i="5"/>
  <c r="AG80" i="5"/>
  <c r="AG71" i="5"/>
  <c r="AG77" i="5"/>
  <c r="AG74" i="5"/>
  <c r="AG78" i="5"/>
  <c r="AG70" i="5"/>
  <c r="AG79" i="5"/>
  <c r="AG65" i="5"/>
  <c r="AG66" i="5"/>
  <c r="Q71" i="5"/>
  <c r="Q79" i="5"/>
  <c r="Q70" i="5"/>
  <c r="Q78" i="5"/>
  <c r="Q69" i="5"/>
  <c r="Q77" i="5"/>
  <c r="Q68" i="5"/>
  <c r="Q76" i="5"/>
  <c r="Q67" i="5"/>
  <c r="Q75" i="5"/>
  <c r="Q66" i="5"/>
  <c r="Q74" i="5"/>
  <c r="Q73" i="5"/>
  <c r="Q80" i="5"/>
  <c r="Q65" i="5"/>
  <c r="Q72" i="5"/>
  <c r="AV67" i="5"/>
  <c r="AV75" i="5"/>
  <c r="AV70" i="5"/>
  <c r="AV68" i="5"/>
  <c r="AV71" i="5"/>
  <c r="AV72" i="5"/>
  <c r="AV76" i="5"/>
  <c r="AV78" i="5"/>
  <c r="AV74" i="5"/>
  <c r="AV65" i="5"/>
  <c r="AV79" i="5"/>
  <c r="AV77" i="5"/>
  <c r="AV73" i="5"/>
  <c r="AV66" i="5"/>
  <c r="AV69" i="5"/>
  <c r="AV80" i="5"/>
  <c r="AN67" i="5"/>
  <c r="AN75" i="5"/>
  <c r="AN70" i="5"/>
  <c r="AN68" i="5"/>
  <c r="AN76" i="5"/>
  <c r="AN71" i="5"/>
  <c r="AN66" i="5"/>
  <c r="AN65" i="5"/>
  <c r="AN73" i="5"/>
  <c r="AN78" i="5"/>
  <c r="AN69" i="5"/>
  <c r="AN72" i="5"/>
  <c r="AN79" i="5"/>
  <c r="AN74" i="5"/>
  <c r="AN77" i="5"/>
  <c r="AN80" i="5"/>
  <c r="AF67" i="5"/>
  <c r="AF75" i="5"/>
  <c r="AF70" i="5"/>
  <c r="AF68" i="5"/>
  <c r="AF76" i="5"/>
  <c r="AF71" i="5"/>
  <c r="AF72" i="5"/>
  <c r="AF77" i="5"/>
  <c r="AF74" i="5"/>
  <c r="AF78" i="5"/>
  <c r="AF65" i="5"/>
  <c r="AF79" i="5"/>
  <c r="AF73" i="5"/>
  <c r="AF66" i="5"/>
  <c r="AF69" i="5"/>
  <c r="AF80" i="5"/>
  <c r="X70" i="5"/>
  <c r="X78" i="5"/>
  <c r="X69" i="5"/>
  <c r="X77" i="5"/>
  <c r="X68" i="5"/>
  <c r="X76" i="5"/>
  <c r="X67" i="5"/>
  <c r="X75" i="5"/>
  <c r="X66" i="5"/>
  <c r="X74" i="5"/>
  <c r="X65" i="5"/>
  <c r="X73" i="5"/>
  <c r="X80" i="5"/>
  <c r="X72" i="5"/>
  <c r="X71" i="5"/>
  <c r="X79" i="5"/>
  <c r="P70" i="5"/>
  <c r="P78" i="5"/>
  <c r="P69" i="5"/>
  <c r="P77" i="5"/>
  <c r="P68" i="5"/>
  <c r="P76" i="5"/>
  <c r="P67" i="5"/>
  <c r="P75" i="5"/>
  <c r="P66" i="5"/>
  <c r="P74" i="5"/>
  <c r="P65" i="5"/>
  <c r="P73" i="5"/>
  <c r="P80" i="5"/>
  <c r="P72" i="5"/>
  <c r="P79" i="5"/>
  <c r="P71" i="5"/>
  <c r="H70" i="5"/>
  <c r="H78" i="5"/>
  <c r="H69" i="5"/>
  <c r="H77" i="5"/>
  <c r="H68" i="5"/>
  <c r="H76" i="5"/>
  <c r="H67" i="5"/>
  <c r="H75" i="5"/>
  <c r="H66" i="5"/>
  <c r="H74" i="5"/>
  <c r="H65" i="5"/>
  <c r="H73" i="5"/>
  <c r="H72" i="5"/>
  <c r="H79" i="5"/>
  <c r="H71" i="5"/>
  <c r="H80" i="5"/>
  <c r="J72" i="5"/>
  <c r="J80" i="5"/>
  <c r="J71" i="5"/>
  <c r="J79" i="5"/>
  <c r="J70" i="5"/>
  <c r="J78" i="5"/>
  <c r="J69" i="5"/>
  <c r="J77" i="5"/>
  <c r="J68" i="5"/>
  <c r="J76" i="5"/>
  <c r="J67" i="5"/>
  <c r="J75" i="5"/>
  <c r="J65" i="5"/>
  <c r="J74" i="5"/>
  <c r="J66" i="5"/>
  <c r="J73" i="5"/>
  <c r="AO72" i="5"/>
  <c r="AO67" i="5"/>
  <c r="AO75" i="5"/>
  <c r="AO73" i="5"/>
  <c r="AO68" i="5"/>
  <c r="AO76" i="5"/>
  <c r="AO80" i="5"/>
  <c r="AO66" i="5"/>
  <c r="AO70" i="5"/>
  <c r="AO78" i="5"/>
  <c r="AO69" i="5"/>
  <c r="AO79" i="5"/>
  <c r="AO71" i="5"/>
  <c r="AO65" i="5"/>
  <c r="AO74" i="5"/>
  <c r="AO77" i="5"/>
  <c r="Y71" i="5"/>
  <c r="Y79" i="5"/>
  <c r="Y70" i="5"/>
  <c r="Y78" i="5"/>
  <c r="Y69" i="5"/>
  <c r="Y77" i="5"/>
  <c r="Y68" i="5"/>
  <c r="Y76" i="5"/>
  <c r="Y67" i="5"/>
  <c r="Y75" i="5"/>
  <c r="Y66" i="5"/>
  <c r="Y74" i="5"/>
  <c r="Y73" i="5"/>
  <c r="Y80" i="5"/>
  <c r="Y65" i="5"/>
  <c r="Y72" i="5"/>
  <c r="I71" i="5"/>
  <c r="I79" i="5"/>
  <c r="I70" i="5"/>
  <c r="I78" i="5"/>
  <c r="I69" i="5"/>
  <c r="I77" i="5"/>
  <c r="I68" i="5"/>
  <c r="I76" i="5"/>
  <c r="I67" i="5"/>
  <c r="I75" i="5"/>
  <c r="I66" i="5"/>
  <c r="I74" i="5"/>
  <c r="I65" i="5"/>
  <c r="I72" i="5"/>
  <c r="I73" i="5"/>
  <c r="I80" i="5"/>
  <c r="AU70" i="5"/>
  <c r="AU73" i="5"/>
  <c r="AU71" i="5"/>
  <c r="AU66" i="5"/>
  <c r="AU74" i="5"/>
  <c r="AU75" i="5"/>
  <c r="AU78" i="5"/>
  <c r="AU68" i="5"/>
  <c r="AU65" i="5"/>
  <c r="AU67" i="5"/>
  <c r="AU80" i="5"/>
  <c r="AU77" i="5"/>
  <c r="AU69" i="5"/>
  <c r="AU72" i="5"/>
  <c r="AU76" i="5"/>
  <c r="AU79" i="5"/>
  <c r="AM70" i="5"/>
  <c r="AM73" i="5"/>
  <c r="AM71" i="5"/>
  <c r="AM66" i="5"/>
  <c r="AM74" i="5"/>
  <c r="AM67" i="5"/>
  <c r="AM78" i="5"/>
  <c r="AM69" i="5"/>
  <c r="AM65" i="5"/>
  <c r="AM72" i="5"/>
  <c r="AM76" i="5"/>
  <c r="AM75" i="5"/>
  <c r="AM68" i="5"/>
  <c r="AM77" i="5"/>
  <c r="AM80" i="5"/>
  <c r="AM79" i="5"/>
  <c r="AE70" i="5"/>
  <c r="AE73" i="5"/>
  <c r="AE71" i="5"/>
  <c r="AE66" i="5"/>
  <c r="AE74" i="5"/>
  <c r="AE75" i="5"/>
  <c r="AE78" i="5"/>
  <c r="AE68" i="5"/>
  <c r="AE65" i="5"/>
  <c r="AE67" i="5"/>
  <c r="AE69" i="5"/>
  <c r="AE80" i="5"/>
  <c r="AE76" i="5"/>
  <c r="AE79" i="5"/>
  <c r="AE77" i="5"/>
  <c r="AE72" i="5"/>
  <c r="W69" i="5"/>
  <c r="W77" i="5"/>
  <c r="W68" i="5"/>
  <c r="W76" i="5"/>
  <c r="W67" i="5"/>
  <c r="W75" i="5"/>
  <c r="W66" i="5"/>
  <c r="W74" i="5"/>
  <c r="W65" i="5"/>
  <c r="W73" i="5"/>
  <c r="W72" i="5"/>
  <c r="W80" i="5"/>
  <c r="W70" i="5"/>
  <c r="W79" i="5"/>
  <c r="W71" i="5"/>
  <c r="W78" i="5"/>
  <c r="O69" i="5"/>
  <c r="O77" i="5"/>
  <c r="O68" i="5"/>
  <c r="O76" i="5"/>
  <c r="O67" i="5"/>
  <c r="O75" i="5"/>
  <c r="O66" i="5"/>
  <c r="O74" i="5"/>
  <c r="O65" i="5"/>
  <c r="O73" i="5"/>
  <c r="O72" i="5"/>
  <c r="O80" i="5"/>
  <c r="O79" i="5"/>
  <c r="O71" i="5"/>
  <c r="O78" i="5"/>
  <c r="O70" i="5"/>
  <c r="G69" i="5"/>
  <c r="G77" i="5"/>
  <c r="G68" i="5"/>
  <c r="G76" i="5"/>
  <c r="G67" i="5"/>
  <c r="G75" i="5"/>
  <c r="G66" i="5"/>
  <c r="G74" i="5"/>
  <c r="G65" i="5"/>
  <c r="G73" i="5"/>
  <c r="G72" i="5"/>
  <c r="G80" i="5"/>
  <c r="G79" i="5"/>
  <c r="G71" i="5"/>
  <c r="G78" i="5"/>
  <c r="G70" i="5"/>
  <c r="Z69" i="5"/>
  <c r="Z77" i="5"/>
  <c r="Z72" i="5"/>
  <c r="Z70" i="5"/>
  <c r="Z73" i="5"/>
  <c r="Z74" i="5"/>
  <c r="Z76" i="5"/>
  <c r="Z67" i="5"/>
  <c r="Z80" i="5"/>
  <c r="Z66" i="5"/>
  <c r="Z65" i="5"/>
  <c r="Z79" i="5"/>
  <c r="Z75" i="5"/>
  <c r="Z68" i="5"/>
  <c r="Z78" i="5"/>
  <c r="Z71" i="5"/>
  <c r="AT73" i="5"/>
  <c r="AT68" i="5"/>
  <c r="AT66" i="5"/>
  <c r="AT74" i="5"/>
  <c r="AT69" i="5"/>
  <c r="AT65" i="5"/>
  <c r="AT79" i="5"/>
  <c r="AT71" i="5"/>
  <c r="AT67" i="5"/>
  <c r="AT70" i="5"/>
  <c r="AT77" i="5"/>
  <c r="AT76" i="5"/>
  <c r="AT80" i="5"/>
  <c r="AT72" i="5"/>
  <c r="AT75" i="5"/>
  <c r="AT78" i="5"/>
  <c r="AL73" i="5"/>
  <c r="AL68" i="5"/>
  <c r="AL66" i="5"/>
  <c r="AL74" i="5"/>
  <c r="AL69" i="5"/>
  <c r="AL77" i="5"/>
  <c r="AL70" i="5"/>
  <c r="AL65" i="5"/>
  <c r="AL76" i="5"/>
  <c r="AL79" i="5"/>
  <c r="AL72" i="5"/>
  <c r="AL71" i="5"/>
  <c r="AL80" i="5"/>
  <c r="AL78" i="5"/>
  <c r="AL75" i="5"/>
  <c r="AL67" i="5"/>
  <c r="AD73" i="5"/>
  <c r="AD68" i="5"/>
  <c r="AD76" i="5"/>
  <c r="AD66" i="5"/>
  <c r="AD74" i="5"/>
  <c r="AD69" i="5"/>
  <c r="AD77" i="5"/>
  <c r="AD65" i="5"/>
  <c r="AD71" i="5"/>
  <c r="AD79" i="5"/>
  <c r="AD67" i="5"/>
  <c r="AD70" i="5"/>
  <c r="AD80" i="5"/>
  <c r="AD72" i="5"/>
  <c r="AD78" i="5"/>
  <c r="AD75" i="5"/>
  <c r="V68" i="5"/>
  <c r="V76" i="5"/>
  <c r="V67" i="5"/>
  <c r="V75" i="5"/>
  <c r="V66" i="5"/>
  <c r="V74" i="5"/>
  <c r="V65" i="5"/>
  <c r="V73" i="5"/>
  <c r="V72" i="5"/>
  <c r="V80" i="5"/>
  <c r="V71" i="5"/>
  <c r="V79" i="5"/>
  <c r="V70" i="5"/>
  <c r="V77" i="5"/>
  <c r="V69" i="5"/>
  <c r="V78" i="5"/>
  <c r="N68" i="5"/>
  <c r="N76" i="5"/>
  <c r="N67" i="5"/>
  <c r="N75" i="5"/>
  <c r="N66" i="5"/>
  <c r="N74" i="5"/>
  <c r="N65" i="5"/>
  <c r="N73" i="5"/>
  <c r="N72" i="5"/>
  <c r="N80" i="5"/>
  <c r="N71" i="5"/>
  <c r="N79" i="5"/>
  <c r="N69" i="5"/>
  <c r="N78" i="5"/>
  <c r="N70" i="5"/>
  <c r="N77" i="5"/>
  <c r="F68" i="5"/>
  <c r="F76" i="5"/>
  <c r="F67" i="5"/>
  <c r="F75" i="5"/>
  <c r="F66" i="5"/>
  <c r="F74" i="5"/>
  <c r="F65" i="5"/>
  <c r="F73" i="5"/>
  <c r="F72" i="5"/>
  <c r="F80" i="5"/>
  <c r="F71" i="5"/>
  <c r="F79" i="5"/>
  <c r="F78" i="5"/>
  <c r="F70" i="5"/>
  <c r="F69" i="5"/>
  <c r="F77" i="5"/>
  <c r="R72" i="5"/>
  <c r="R80" i="5"/>
  <c r="R71" i="5"/>
  <c r="R79" i="5"/>
  <c r="R70" i="5"/>
  <c r="R78" i="5"/>
  <c r="R69" i="5"/>
  <c r="R77" i="5"/>
  <c r="R68" i="5"/>
  <c r="R76" i="5"/>
  <c r="R67" i="5"/>
  <c r="R75" i="5"/>
  <c r="R66" i="5"/>
  <c r="R73" i="5"/>
  <c r="R65" i="5"/>
  <c r="R74" i="5"/>
  <c r="C65" i="5"/>
  <c r="C73" i="5"/>
  <c r="C72" i="5"/>
  <c r="C80" i="5"/>
  <c r="C71" i="5"/>
  <c r="C79" i="5"/>
  <c r="C70" i="5"/>
  <c r="C78" i="5"/>
  <c r="C69" i="5"/>
  <c r="C77" i="5"/>
  <c r="C68" i="5"/>
  <c r="C76" i="5"/>
  <c r="C75" i="5"/>
  <c r="C67" i="5"/>
  <c r="C74" i="5"/>
  <c r="C66" i="5"/>
  <c r="AS68" i="5"/>
  <c r="AS76" i="5"/>
  <c r="AS71" i="5"/>
  <c r="AS69" i="5"/>
  <c r="AS72" i="5"/>
  <c r="AS67" i="5"/>
  <c r="AS74" i="5"/>
  <c r="AS79" i="5"/>
  <c r="AS70" i="5"/>
  <c r="AS73" i="5"/>
  <c r="AS80" i="5"/>
  <c r="AS66" i="5"/>
  <c r="AS75" i="5"/>
  <c r="AS78" i="5"/>
  <c r="AS77" i="5"/>
  <c r="AS65" i="5"/>
  <c r="AK68" i="5"/>
  <c r="AK76" i="5"/>
  <c r="AK71" i="5"/>
  <c r="AK69" i="5"/>
  <c r="AK72" i="5"/>
  <c r="AK73" i="5"/>
  <c r="AK66" i="5"/>
  <c r="AK79" i="5"/>
  <c r="AK75" i="5"/>
  <c r="AK77" i="5"/>
  <c r="AK80" i="5"/>
  <c r="AK78" i="5"/>
  <c r="AK74" i="5"/>
  <c r="AK67" i="5"/>
  <c r="AK70" i="5"/>
  <c r="AK65" i="5"/>
  <c r="AC68" i="5"/>
  <c r="AC76" i="5"/>
  <c r="AC71" i="5"/>
  <c r="AC69" i="5"/>
  <c r="AC72" i="5"/>
  <c r="AC70" i="5"/>
  <c r="AC74" i="5"/>
  <c r="AC79" i="5"/>
  <c r="AC67" i="5"/>
  <c r="AC73" i="5"/>
  <c r="AC80" i="5"/>
  <c r="AC75" i="5"/>
  <c r="AC66" i="5"/>
  <c r="AC77" i="5"/>
  <c r="AC78" i="5"/>
  <c r="AC65" i="5"/>
  <c r="U67" i="5"/>
  <c r="U75" i="5"/>
  <c r="U66" i="5"/>
  <c r="U74" i="5"/>
  <c r="U65" i="5"/>
  <c r="U73" i="5"/>
  <c r="U72" i="5"/>
  <c r="U80" i="5"/>
  <c r="U71" i="5"/>
  <c r="U79" i="5"/>
  <c r="U70" i="5"/>
  <c r="U78" i="5"/>
  <c r="U77" i="5"/>
  <c r="U69" i="5"/>
  <c r="U76" i="5"/>
  <c r="U68" i="5"/>
  <c r="M67" i="5"/>
  <c r="M75" i="5"/>
  <c r="M66" i="5"/>
  <c r="M74" i="5"/>
  <c r="M65" i="5"/>
  <c r="M73" i="5"/>
  <c r="M72" i="5"/>
  <c r="M80" i="5"/>
  <c r="M71" i="5"/>
  <c r="M79" i="5"/>
  <c r="M70" i="5"/>
  <c r="M78" i="5"/>
  <c r="M69" i="5"/>
  <c r="M76" i="5"/>
  <c r="M68" i="5"/>
  <c r="M77" i="5"/>
  <c r="E67" i="5"/>
  <c r="E75" i="5"/>
  <c r="E66" i="5"/>
  <c r="E74" i="5"/>
  <c r="E65" i="5"/>
  <c r="E73" i="5"/>
  <c r="E72" i="5"/>
  <c r="E80" i="5"/>
  <c r="E71" i="5"/>
  <c r="E79" i="5"/>
  <c r="E70" i="5"/>
  <c r="E78" i="5"/>
  <c r="E68" i="5"/>
  <c r="E77" i="5"/>
  <c r="E69" i="5"/>
  <c r="E76" i="5"/>
  <c r="AP69" i="5"/>
  <c r="AP72" i="5"/>
  <c r="AP70" i="5"/>
  <c r="AP73" i="5"/>
  <c r="AP74" i="5"/>
  <c r="AP77" i="5"/>
  <c r="AP67" i="5"/>
  <c r="AP80" i="5"/>
  <c r="AP66" i="5"/>
  <c r="AP65" i="5"/>
  <c r="AP79" i="5"/>
  <c r="AP75" i="5"/>
  <c r="AP68" i="5"/>
  <c r="AP76" i="5"/>
  <c r="AP78" i="5"/>
  <c r="AP71" i="5"/>
  <c r="AZ71" i="5"/>
  <c r="AZ66" i="5"/>
  <c r="AZ74" i="5"/>
  <c r="AZ72" i="5"/>
  <c r="AZ67" i="5"/>
  <c r="AZ75" i="5"/>
  <c r="AZ79" i="5"/>
  <c r="AZ77" i="5"/>
  <c r="AZ69" i="5"/>
  <c r="AZ68" i="5"/>
  <c r="AZ65" i="5"/>
  <c r="AZ78" i="5"/>
  <c r="AZ70" i="5"/>
  <c r="AZ73" i="5"/>
  <c r="AZ76" i="5"/>
  <c r="AZ80" i="5"/>
  <c r="AR71" i="5"/>
  <c r="AR66" i="5"/>
  <c r="AR74" i="5"/>
  <c r="AR72" i="5"/>
  <c r="AR67" i="5"/>
  <c r="AR75" i="5"/>
  <c r="AR68" i="5"/>
  <c r="AR79" i="5"/>
  <c r="AR73" i="5"/>
  <c r="AR70" i="5"/>
  <c r="AR77" i="5"/>
  <c r="AR69" i="5"/>
  <c r="AR76" i="5"/>
  <c r="AR78" i="5"/>
  <c r="AR65" i="5"/>
  <c r="AR80" i="5"/>
  <c r="AJ71" i="5"/>
  <c r="AJ66" i="5"/>
  <c r="AJ74" i="5"/>
  <c r="AJ72" i="5"/>
  <c r="AJ67" i="5"/>
  <c r="AJ75" i="5"/>
  <c r="AJ76" i="5"/>
  <c r="AJ79" i="5"/>
  <c r="AJ69" i="5"/>
  <c r="AJ68" i="5"/>
  <c r="AJ65" i="5"/>
  <c r="AJ78" i="5"/>
  <c r="AJ70" i="5"/>
  <c r="AJ73" i="5"/>
  <c r="AJ80" i="5"/>
  <c r="AJ77" i="5"/>
  <c r="AB71" i="5"/>
  <c r="AB66" i="5"/>
  <c r="AB74" i="5"/>
  <c r="AB72" i="5"/>
  <c r="AB67" i="5"/>
  <c r="AB75" i="5"/>
  <c r="AB68" i="5"/>
  <c r="AB79" i="5"/>
  <c r="AB70" i="5"/>
  <c r="AB73" i="5"/>
  <c r="AB76" i="5"/>
  <c r="AB69" i="5"/>
  <c r="AB77" i="5"/>
  <c r="AB78" i="5"/>
  <c r="AB65" i="5"/>
  <c r="AB80" i="5"/>
  <c r="T66" i="5"/>
  <c r="T74" i="5"/>
  <c r="T65" i="5"/>
  <c r="T73" i="5"/>
  <c r="T72" i="5"/>
  <c r="T80" i="5"/>
  <c r="T71" i="5"/>
  <c r="T79" i="5"/>
  <c r="T70" i="5"/>
  <c r="T78" i="5"/>
  <c r="T69" i="5"/>
  <c r="T77" i="5"/>
  <c r="T76" i="5"/>
  <c r="T68" i="5"/>
  <c r="T67" i="5"/>
  <c r="T75" i="5"/>
  <c r="L66" i="5"/>
  <c r="L74" i="5"/>
  <c r="L65" i="5"/>
  <c r="L73" i="5"/>
  <c r="L72" i="5"/>
  <c r="L80" i="5"/>
  <c r="L71" i="5"/>
  <c r="L79" i="5"/>
  <c r="L70" i="5"/>
  <c r="L78" i="5"/>
  <c r="L69" i="5"/>
  <c r="L77" i="5"/>
  <c r="L76" i="5"/>
  <c r="L68" i="5"/>
  <c r="L75" i="5"/>
  <c r="L67" i="5"/>
  <c r="D66" i="5"/>
  <c r="D74" i="5"/>
  <c r="D65" i="5"/>
  <c r="D73" i="5"/>
  <c r="D72" i="5"/>
  <c r="D80" i="5"/>
  <c r="D71" i="5"/>
  <c r="D79" i="5"/>
  <c r="D70" i="5"/>
  <c r="D78" i="5"/>
  <c r="D69" i="5"/>
  <c r="D77" i="5"/>
  <c r="D68" i="5"/>
  <c r="D75" i="5"/>
  <c r="D67" i="5"/>
  <c r="D76" i="5"/>
  <c r="AX69" i="5"/>
  <c r="AX72" i="5"/>
  <c r="AX70" i="5"/>
  <c r="AX73" i="5"/>
  <c r="AX66" i="5"/>
  <c r="AX77" i="5"/>
  <c r="AX71" i="5"/>
  <c r="AX75" i="5"/>
  <c r="AX76" i="5"/>
  <c r="AX80" i="5"/>
  <c r="AX68" i="5"/>
  <c r="AX74" i="5"/>
  <c r="AX65" i="5"/>
  <c r="AX67" i="5"/>
  <c r="AX79" i="5"/>
  <c r="AX78" i="5"/>
  <c r="AY66" i="5"/>
  <c r="AY74" i="5"/>
  <c r="AY69" i="5"/>
  <c r="AY67" i="5"/>
  <c r="AY75" i="5"/>
  <c r="AY70" i="5"/>
  <c r="AY76" i="5"/>
  <c r="AY72" i="5"/>
  <c r="AY77" i="5"/>
  <c r="AY68" i="5"/>
  <c r="AY80" i="5"/>
  <c r="AY71" i="5"/>
  <c r="AY78" i="5"/>
  <c r="AY65" i="5"/>
  <c r="AY73" i="5"/>
  <c r="AY79" i="5"/>
  <c r="AQ66" i="5"/>
  <c r="AQ74" i="5"/>
  <c r="AQ69" i="5"/>
  <c r="AQ67" i="5"/>
  <c r="AQ75" i="5"/>
  <c r="AQ70" i="5"/>
  <c r="AQ71" i="5"/>
  <c r="AQ80" i="5"/>
  <c r="AQ77" i="5"/>
  <c r="AQ73" i="5"/>
  <c r="AQ76" i="5"/>
  <c r="AQ78" i="5"/>
  <c r="AQ72" i="5"/>
  <c r="AQ65" i="5"/>
  <c r="AQ68" i="5"/>
  <c r="AQ79" i="5"/>
  <c r="AI66" i="5"/>
  <c r="AI74" i="5"/>
  <c r="AI69" i="5"/>
  <c r="AI67" i="5"/>
  <c r="AI75" i="5"/>
  <c r="AI70" i="5"/>
  <c r="AI68" i="5"/>
  <c r="AI72" i="5"/>
  <c r="AI77" i="5"/>
  <c r="AI80" i="5"/>
  <c r="AI71" i="5"/>
  <c r="AI78" i="5"/>
  <c r="AI65" i="5"/>
  <c r="AI73" i="5"/>
  <c r="AI79" i="5"/>
  <c r="AI76" i="5"/>
  <c r="AA66" i="5"/>
  <c r="AA74" i="5"/>
  <c r="AA69" i="5"/>
  <c r="AA67" i="5"/>
  <c r="AA75" i="5"/>
  <c r="AA70" i="5"/>
  <c r="AA71" i="5"/>
  <c r="AA73" i="5"/>
  <c r="AA80" i="5"/>
  <c r="AA77" i="5"/>
  <c r="AA78" i="5"/>
  <c r="AA72" i="5"/>
  <c r="AA65" i="5"/>
  <c r="AA68" i="5"/>
  <c r="AA76" i="5"/>
  <c r="AA79" i="5"/>
  <c r="S65" i="5"/>
  <c r="S73" i="5"/>
  <c r="S72" i="5"/>
  <c r="S80" i="5"/>
  <c r="S71" i="5"/>
  <c r="S79" i="5"/>
  <c r="S70" i="5"/>
  <c r="S78" i="5"/>
  <c r="S69" i="5"/>
  <c r="S77" i="5"/>
  <c r="S68" i="5"/>
  <c r="S76" i="5"/>
  <c r="S66" i="5"/>
  <c r="S75" i="5"/>
  <c r="S74" i="5"/>
  <c r="S67" i="5"/>
  <c r="K65" i="5"/>
  <c r="K73" i="5"/>
  <c r="K72" i="5"/>
  <c r="K80" i="5"/>
  <c r="K71" i="5"/>
  <c r="K79" i="5"/>
  <c r="K70" i="5"/>
  <c r="K78" i="5"/>
  <c r="K69" i="5"/>
  <c r="K77" i="5"/>
  <c r="K68" i="5"/>
  <c r="K76" i="5"/>
  <c r="K75" i="5"/>
  <c r="K67" i="5"/>
  <c r="K74" i="5"/>
  <c r="K66" i="5"/>
  <c r="AJ52" i="5"/>
  <c r="AJ47" i="5"/>
  <c r="AJ55" i="5"/>
  <c r="AJ50" i="5"/>
  <c r="AJ58" i="5"/>
  <c r="AJ53" i="5"/>
  <c r="AJ48" i="5"/>
  <c r="AJ56" i="5"/>
  <c r="AJ51" i="5"/>
  <c r="AJ54" i="5"/>
  <c r="AJ59" i="5"/>
  <c r="AJ57" i="5"/>
  <c r="AJ46" i="5"/>
  <c r="AJ60" i="5"/>
  <c r="AJ49" i="5"/>
  <c r="AJ61" i="5"/>
  <c r="D46" i="5"/>
  <c r="D54" i="5"/>
  <c r="D53" i="5"/>
  <c r="D61" i="5"/>
  <c r="D52" i="5"/>
  <c r="D60" i="5"/>
  <c r="D51" i="5"/>
  <c r="D59" i="5"/>
  <c r="D50" i="5"/>
  <c r="D58" i="5"/>
  <c r="D49" i="5"/>
  <c r="D57" i="5"/>
  <c r="D48" i="5"/>
  <c r="D56" i="5"/>
  <c r="D55" i="5"/>
  <c r="D47" i="5"/>
  <c r="AY47" i="5"/>
  <c r="AY55" i="5"/>
  <c r="AY50" i="5"/>
  <c r="AY53" i="5"/>
  <c r="AY48" i="5"/>
  <c r="AY56" i="5"/>
  <c r="AY51" i="5"/>
  <c r="AY54" i="5"/>
  <c r="AY49" i="5"/>
  <c r="AY57" i="5"/>
  <c r="AY46" i="5"/>
  <c r="AY52" i="5"/>
  <c r="AY60" i="5"/>
  <c r="AY58" i="5"/>
  <c r="AY61" i="5"/>
  <c r="AY59" i="5"/>
  <c r="AQ47" i="5"/>
  <c r="AQ55" i="5"/>
  <c r="AQ50" i="5"/>
  <c r="AQ53" i="5"/>
  <c r="AQ48" i="5"/>
  <c r="AQ56" i="5"/>
  <c r="AQ51" i="5"/>
  <c r="AQ54" i="5"/>
  <c r="AQ49" i="5"/>
  <c r="AQ57" i="5"/>
  <c r="AQ46" i="5"/>
  <c r="AQ52" i="5"/>
  <c r="AQ60" i="5"/>
  <c r="AQ58" i="5"/>
  <c r="AQ61" i="5"/>
  <c r="AQ59" i="5"/>
  <c r="AI47" i="5"/>
  <c r="AI55" i="5"/>
  <c r="AI50" i="5"/>
  <c r="AI53" i="5"/>
  <c r="AI48" i="5"/>
  <c r="AI56" i="5"/>
  <c r="AI51" i="5"/>
  <c r="AI54" i="5"/>
  <c r="AI49" i="5"/>
  <c r="AI57" i="5"/>
  <c r="AI52" i="5"/>
  <c r="AI58" i="5"/>
  <c r="AI46" i="5"/>
  <c r="AI60" i="5"/>
  <c r="AI61" i="5"/>
  <c r="AI59" i="5"/>
  <c r="AA47" i="5"/>
  <c r="AA55" i="5"/>
  <c r="AA50" i="5"/>
  <c r="AA53" i="5"/>
  <c r="AA48" i="5"/>
  <c r="AA56" i="5"/>
  <c r="AA51" i="5"/>
  <c r="AA54" i="5"/>
  <c r="AA49" i="5"/>
  <c r="AA57" i="5"/>
  <c r="AA46" i="5"/>
  <c r="AA60" i="5"/>
  <c r="AA61" i="5"/>
  <c r="AA52" i="5"/>
  <c r="AA58" i="5"/>
  <c r="AA59" i="5"/>
  <c r="S53" i="5"/>
  <c r="S61" i="5"/>
  <c r="S52" i="5"/>
  <c r="S60" i="5"/>
  <c r="S51" i="5"/>
  <c r="S59" i="5"/>
  <c r="S50" i="5"/>
  <c r="S58" i="5"/>
  <c r="S49" i="5"/>
  <c r="S57" i="5"/>
  <c r="S48" i="5"/>
  <c r="S56" i="5"/>
  <c r="S47" i="5"/>
  <c r="S55" i="5"/>
  <c r="S54" i="5"/>
  <c r="S46" i="5"/>
  <c r="K53" i="5"/>
  <c r="K61" i="5"/>
  <c r="K52" i="5"/>
  <c r="K60" i="5"/>
  <c r="K51" i="5"/>
  <c r="K59" i="5"/>
  <c r="K50" i="5"/>
  <c r="K58" i="5"/>
  <c r="K49" i="5"/>
  <c r="K57" i="5"/>
  <c r="K48" i="5"/>
  <c r="K56" i="5"/>
  <c r="K47" i="5"/>
  <c r="K55" i="5"/>
  <c r="K54" i="5"/>
  <c r="K46" i="5"/>
  <c r="AZ52" i="5"/>
  <c r="AZ47" i="5"/>
  <c r="AZ55" i="5"/>
  <c r="AZ50" i="5"/>
  <c r="AZ53" i="5"/>
  <c r="AZ48" i="5"/>
  <c r="AZ56" i="5"/>
  <c r="AZ51" i="5"/>
  <c r="AZ54" i="5"/>
  <c r="AZ49" i="5"/>
  <c r="AZ59" i="5"/>
  <c r="AZ46" i="5"/>
  <c r="AZ60" i="5"/>
  <c r="AZ57" i="5"/>
  <c r="AZ58" i="5"/>
  <c r="AZ61" i="5"/>
  <c r="AR52" i="5"/>
  <c r="AR47" i="5"/>
  <c r="AR55" i="5"/>
  <c r="AR50" i="5"/>
  <c r="AR53" i="5"/>
  <c r="AR48" i="5"/>
  <c r="AR56" i="5"/>
  <c r="AR51" i="5"/>
  <c r="AR54" i="5"/>
  <c r="AR59" i="5"/>
  <c r="AR46" i="5"/>
  <c r="AR57" i="5"/>
  <c r="AR60" i="5"/>
  <c r="AR58" i="5"/>
  <c r="AR61" i="5"/>
  <c r="AR49" i="5"/>
  <c r="AB52" i="5"/>
  <c r="AB47" i="5"/>
  <c r="AB55" i="5"/>
  <c r="AB50" i="5"/>
  <c r="AB58" i="5"/>
  <c r="AB53" i="5"/>
  <c r="AB48" i="5"/>
  <c r="AB56" i="5"/>
  <c r="AB51" i="5"/>
  <c r="AB54" i="5"/>
  <c r="AB57" i="5"/>
  <c r="AB59" i="5"/>
  <c r="AB46" i="5"/>
  <c r="AB60" i="5"/>
  <c r="AB49" i="5"/>
  <c r="AB61" i="5"/>
  <c r="T46" i="5"/>
  <c r="T54" i="5"/>
  <c r="T53" i="5"/>
  <c r="T61" i="5"/>
  <c r="T52" i="5"/>
  <c r="T60" i="5"/>
  <c r="T51" i="5"/>
  <c r="T59" i="5"/>
  <c r="T50" i="5"/>
  <c r="T58" i="5"/>
  <c r="T49" i="5"/>
  <c r="T57" i="5"/>
  <c r="T48" i="5"/>
  <c r="T56" i="5"/>
  <c r="T55" i="5"/>
  <c r="T47" i="5"/>
  <c r="L46" i="5"/>
  <c r="L54" i="5"/>
  <c r="L53" i="5"/>
  <c r="L61" i="5"/>
  <c r="L52" i="5"/>
  <c r="L60" i="5"/>
  <c r="L51" i="5"/>
  <c r="L59" i="5"/>
  <c r="L50" i="5"/>
  <c r="L58" i="5"/>
  <c r="L49" i="5"/>
  <c r="L57" i="5"/>
  <c r="L48" i="5"/>
  <c r="L56" i="5"/>
  <c r="L55" i="5"/>
  <c r="L47" i="5"/>
  <c r="AX50" i="5"/>
  <c r="AX53" i="5"/>
  <c r="AX48" i="5"/>
  <c r="AX56" i="5"/>
  <c r="AX51" i="5"/>
  <c r="AX54" i="5"/>
  <c r="AX49" i="5"/>
  <c r="AX57" i="5"/>
  <c r="AX52" i="5"/>
  <c r="AX47" i="5"/>
  <c r="AX60" i="5"/>
  <c r="AX58" i="5"/>
  <c r="AX55" i="5"/>
  <c r="AX61" i="5"/>
  <c r="AX46" i="5"/>
  <c r="AX59" i="5"/>
  <c r="AP50" i="5"/>
  <c r="AP53" i="5"/>
  <c r="AP48" i="5"/>
  <c r="AP56" i="5"/>
  <c r="AP51" i="5"/>
  <c r="AP54" i="5"/>
  <c r="AP49" i="5"/>
  <c r="AP57" i="5"/>
  <c r="AP52" i="5"/>
  <c r="AP47" i="5"/>
  <c r="AP60" i="5"/>
  <c r="AP55" i="5"/>
  <c r="AP58" i="5"/>
  <c r="AP61" i="5"/>
  <c r="AP59" i="5"/>
  <c r="AP46" i="5"/>
  <c r="AH50" i="5"/>
  <c r="AH58" i="5"/>
  <c r="AH53" i="5"/>
  <c r="AH48" i="5"/>
  <c r="AH56" i="5"/>
  <c r="AH51" i="5"/>
  <c r="AH54" i="5"/>
  <c r="AH49" i="5"/>
  <c r="AH57" i="5"/>
  <c r="AH52" i="5"/>
  <c r="AH60" i="5"/>
  <c r="AH55" i="5"/>
  <c r="AH61" i="5"/>
  <c r="AH47" i="5"/>
  <c r="AH46" i="5"/>
  <c r="AH59" i="5"/>
  <c r="Z50" i="5"/>
  <c r="Z58" i="5"/>
  <c r="Z53" i="5"/>
  <c r="Z48" i="5"/>
  <c r="Z56" i="5"/>
  <c r="Z51" i="5"/>
  <c r="Z54" i="5"/>
  <c r="Z49" i="5"/>
  <c r="Z57" i="5"/>
  <c r="Z52" i="5"/>
  <c r="Z55" i="5"/>
  <c r="Z60" i="5"/>
  <c r="Z61" i="5"/>
  <c r="Z47" i="5"/>
  <c r="Z59" i="5"/>
  <c r="Z46" i="5"/>
  <c r="R52" i="5"/>
  <c r="R60" i="5"/>
  <c r="R51" i="5"/>
  <c r="R59" i="5"/>
  <c r="R50" i="5"/>
  <c r="R58" i="5"/>
  <c r="R49" i="5"/>
  <c r="R57" i="5"/>
  <c r="R48" i="5"/>
  <c r="R56" i="5"/>
  <c r="R47" i="5"/>
  <c r="R55" i="5"/>
  <c r="R46" i="5"/>
  <c r="R54" i="5"/>
  <c r="R61" i="5"/>
  <c r="R53" i="5"/>
  <c r="J52" i="5"/>
  <c r="J60" i="5"/>
  <c r="J51" i="5"/>
  <c r="J59" i="5"/>
  <c r="J50" i="5"/>
  <c r="J58" i="5"/>
  <c r="J49" i="5"/>
  <c r="J57" i="5"/>
  <c r="J48" i="5"/>
  <c r="J56" i="5"/>
  <c r="J47" i="5"/>
  <c r="J55" i="5"/>
  <c r="J46" i="5"/>
  <c r="J54" i="5"/>
  <c r="J61" i="5"/>
  <c r="J53" i="5"/>
  <c r="AW53" i="5"/>
  <c r="AW48" i="5"/>
  <c r="AW56" i="5"/>
  <c r="AW51" i="5"/>
  <c r="AW54" i="5"/>
  <c r="AW49" i="5"/>
  <c r="AW57" i="5"/>
  <c r="AW52" i="5"/>
  <c r="AW47" i="5"/>
  <c r="AW55" i="5"/>
  <c r="AW60" i="5"/>
  <c r="AW58" i="5"/>
  <c r="AW50" i="5"/>
  <c r="AW61" i="5"/>
  <c r="AW59" i="5"/>
  <c r="AW46" i="5"/>
  <c r="AO53" i="5"/>
  <c r="AO48" i="5"/>
  <c r="AO56" i="5"/>
  <c r="AO51" i="5"/>
  <c r="AO54" i="5"/>
  <c r="AO49" i="5"/>
  <c r="AO57" i="5"/>
  <c r="AO52" i="5"/>
  <c r="AO47" i="5"/>
  <c r="AO55" i="5"/>
  <c r="AO60" i="5"/>
  <c r="AO50" i="5"/>
  <c r="AO58" i="5"/>
  <c r="AO61" i="5"/>
  <c r="AO59" i="5"/>
  <c r="AO46" i="5"/>
  <c r="AG53" i="5"/>
  <c r="AG48" i="5"/>
  <c r="AG56" i="5"/>
  <c r="AG51" i="5"/>
  <c r="AG54" i="5"/>
  <c r="AG49" i="5"/>
  <c r="AG57" i="5"/>
  <c r="AG52" i="5"/>
  <c r="AG47" i="5"/>
  <c r="AG55" i="5"/>
  <c r="AG60" i="5"/>
  <c r="AG50" i="5"/>
  <c r="AG61" i="5"/>
  <c r="AG59" i="5"/>
  <c r="AG46" i="5"/>
  <c r="AG58" i="5"/>
  <c r="Y51" i="5"/>
  <c r="Y59" i="5"/>
  <c r="Y50" i="5"/>
  <c r="Y58" i="5"/>
  <c r="Y49" i="5"/>
  <c r="Y57" i="5"/>
  <c r="Y48" i="5"/>
  <c r="Y56" i="5"/>
  <c r="Y47" i="5"/>
  <c r="Y55" i="5"/>
  <c r="Y46" i="5"/>
  <c r="Y54" i="5"/>
  <c r="Y53" i="5"/>
  <c r="Y61" i="5"/>
  <c r="Y60" i="5"/>
  <c r="Y52" i="5"/>
  <c r="Q51" i="5"/>
  <c r="Q59" i="5"/>
  <c r="Q50" i="5"/>
  <c r="Q58" i="5"/>
  <c r="Q49" i="5"/>
  <c r="Q57" i="5"/>
  <c r="Q48" i="5"/>
  <c r="Q56" i="5"/>
  <c r="Q47" i="5"/>
  <c r="Q55" i="5"/>
  <c r="Q46" i="5"/>
  <c r="Q54" i="5"/>
  <c r="Q53" i="5"/>
  <c r="Q61" i="5"/>
  <c r="Q60" i="5"/>
  <c r="Q52" i="5"/>
  <c r="I51" i="5"/>
  <c r="I59" i="5"/>
  <c r="I50" i="5"/>
  <c r="I58" i="5"/>
  <c r="I49" i="5"/>
  <c r="I57" i="5"/>
  <c r="I48" i="5"/>
  <c r="I56" i="5"/>
  <c r="I47" i="5"/>
  <c r="I55" i="5"/>
  <c r="I46" i="5"/>
  <c r="I54" i="5"/>
  <c r="I53" i="5"/>
  <c r="I61" i="5"/>
  <c r="I60" i="5"/>
  <c r="I52" i="5"/>
  <c r="AV48" i="5"/>
  <c r="AV56" i="5"/>
  <c r="AV51" i="5"/>
  <c r="AV54" i="5"/>
  <c r="AV49" i="5"/>
  <c r="AV57" i="5"/>
  <c r="AV52" i="5"/>
  <c r="AV47" i="5"/>
  <c r="AV55" i="5"/>
  <c r="AV50" i="5"/>
  <c r="AV58" i="5"/>
  <c r="AV61" i="5"/>
  <c r="AV59" i="5"/>
  <c r="AV53" i="5"/>
  <c r="AV46" i="5"/>
  <c r="AV60" i="5"/>
  <c r="AN48" i="5"/>
  <c r="AN56" i="5"/>
  <c r="AN51" i="5"/>
  <c r="AN54" i="5"/>
  <c r="AN49" i="5"/>
  <c r="AN57" i="5"/>
  <c r="AN52" i="5"/>
  <c r="AN47" i="5"/>
  <c r="AN55" i="5"/>
  <c r="AN50" i="5"/>
  <c r="AN58" i="5"/>
  <c r="AN61" i="5"/>
  <c r="AN53" i="5"/>
  <c r="AN59" i="5"/>
  <c r="AN46" i="5"/>
  <c r="AN60" i="5"/>
  <c r="AF48" i="5"/>
  <c r="AF56" i="5"/>
  <c r="AF51" i="5"/>
  <c r="AF54" i="5"/>
  <c r="AF49" i="5"/>
  <c r="AF57" i="5"/>
  <c r="AF52" i="5"/>
  <c r="AF47" i="5"/>
  <c r="AF55" i="5"/>
  <c r="AF50" i="5"/>
  <c r="AF58" i="5"/>
  <c r="AF61" i="5"/>
  <c r="AF53" i="5"/>
  <c r="AF59" i="5"/>
  <c r="AF46" i="5"/>
  <c r="AF60" i="5"/>
  <c r="X50" i="5"/>
  <c r="X58" i="5"/>
  <c r="X49" i="5"/>
  <c r="X57" i="5"/>
  <c r="X48" i="5"/>
  <c r="X56" i="5"/>
  <c r="X47" i="5"/>
  <c r="X55" i="5"/>
  <c r="X46" i="5"/>
  <c r="X54" i="5"/>
  <c r="X53" i="5"/>
  <c r="X61" i="5"/>
  <c r="X52" i="5"/>
  <c r="X60" i="5"/>
  <c r="X59" i="5"/>
  <c r="X51" i="5"/>
  <c r="P50" i="5"/>
  <c r="P58" i="5"/>
  <c r="P49" i="5"/>
  <c r="P57" i="5"/>
  <c r="P48" i="5"/>
  <c r="P56" i="5"/>
  <c r="P47" i="5"/>
  <c r="P55" i="5"/>
  <c r="P46" i="5"/>
  <c r="P54" i="5"/>
  <c r="P53" i="5"/>
  <c r="P61" i="5"/>
  <c r="P52" i="5"/>
  <c r="P60" i="5"/>
  <c r="P51" i="5"/>
  <c r="P59" i="5"/>
  <c r="H50" i="5"/>
  <c r="H58" i="5"/>
  <c r="H49" i="5"/>
  <c r="H57" i="5"/>
  <c r="H48" i="5"/>
  <c r="H56" i="5"/>
  <c r="H47" i="5"/>
  <c r="H55" i="5"/>
  <c r="H46" i="5"/>
  <c r="H54" i="5"/>
  <c r="H53" i="5"/>
  <c r="H61" i="5"/>
  <c r="H52" i="5"/>
  <c r="H60" i="5"/>
  <c r="H59" i="5"/>
  <c r="H51" i="5"/>
  <c r="AU51" i="5"/>
  <c r="AU54" i="5"/>
  <c r="AU49" i="5"/>
  <c r="AU57" i="5"/>
  <c r="AU52" i="5"/>
  <c r="AU47" i="5"/>
  <c r="AU55" i="5"/>
  <c r="AU50" i="5"/>
  <c r="AU53" i="5"/>
  <c r="AU58" i="5"/>
  <c r="AU61" i="5"/>
  <c r="AU59" i="5"/>
  <c r="AU48" i="5"/>
  <c r="AU46" i="5"/>
  <c r="AU56" i="5"/>
  <c r="AU60" i="5"/>
  <c r="AM51" i="5"/>
  <c r="AM54" i="5"/>
  <c r="AM49" i="5"/>
  <c r="AM57" i="5"/>
  <c r="AM52" i="5"/>
  <c r="AM47" i="5"/>
  <c r="AM55" i="5"/>
  <c r="AM50" i="5"/>
  <c r="AM53" i="5"/>
  <c r="AM58" i="5"/>
  <c r="AM61" i="5"/>
  <c r="AM48" i="5"/>
  <c r="AM59" i="5"/>
  <c r="AM46" i="5"/>
  <c r="AM56" i="5"/>
  <c r="AM60" i="5"/>
  <c r="AE51" i="5"/>
  <c r="AE54" i="5"/>
  <c r="AE49" i="5"/>
  <c r="AE57" i="5"/>
  <c r="AE52" i="5"/>
  <c r="AE47" i="5"/>
  <c r="AE55" i="5"/>
  <c r="AE50" i="5"/>
  <c r="AE58" i="5"/>
  <c r="AE53" i="5"/>
  <c r="AE61" i="5"/>
  <c r="AE48" i="5"/>
  <c r="AE59" i="5"/>
  <c r="AE46" i="5"/>
  <c r="AE56" i="5"/>
  <c r="AE60" i="5"/>
  <c r="W49" i="5"/>
  <c r="W57" i="5"/>
  <c r="W48" i="5"/>
  <c r="W56" i="5"/>
  <c r="W47" i="5"/>
  <c r="W55" i="5"/>
  <c r="W46" i="5"/>
  <c r="W54" i="5"/>
  <c r="W53" i="5"/>
  <c r="W61" i="5"/>
  <c r="W52" i="5"/>
  <c r="W60" i="5"/>
  <c r="W51" i="5"/>
  <c r="W59" i="5"/>
  <c r="W58" i="5"/>
  <c r="W50" i="5"/>
  <c r="O49" i="5"/>
  <c r="O57" i="5"/>
  <c r="O48" i="5"/>
  <c r="O56" i="5"/>
  <c r="O47" i="5"/>
  <c r="O55" i="5"/>
  <c r="O46" i="5"/>
  <c r="O54" i="5"/>
  <c r="O53" i="5"/>
  <c r="O61" i="5"/>
  <c r="O52" i="5"/>
  <c r="O60" i="5"/>
  <c r="O51" i="5"/>
  <c r="O59" i="5"/>
  <c r="O58" i="5"/>
  <c r="O50" i="5"/>
  <c r="G49" i="5"/>
  <c r="G57" i="5"/>
  <c r="G48" i="5"/>
  <c r="G56" i="5"/>
  <c r="G47" i="5"/>
  <c r="G55" i="5"/>
  <c r="G46" i="5"/>
  <c r="G54" i="5"/>
  <c r="G53" i="5"/>
  <c r="G61" i="5"/>
  <c r="G52" i="5"/>
  <c r="G60" i="5"/>
  <c r="G51" i="5"/>
  <c r="G59" i="5"/>
  <c r="G58" i="5"/>
  <c r="G50" i="5"/>
  <c r="C53" i="5"/>
  <c r="C61" i="5"/>
  <c r="C52" i="5"/>
  <c r="C60" i="5"/>
  <c r="C51" i="5"/>
  <c r="C59" i="5"/>
  <c r="C50" i="5"/>
  <c r="C58" i="5"/>
  <c r="C49" i="5"/>
  <c r="C57" i="5"/>
  <c r="C48" i="5"/>
  <c r="C56" i="5"/>
  <c r="C47" i="5"/>
  <c r="C55" i="5"/>
  <c r="C46" i="5"/>
  <c r="C54" i="5"/>
  <c r="AT54" i="5"/>
  <c r="AT49" i="5"/>
  <c r="AT52" i="5"/>
  <c r="AT47" i="5"/>
  <c r="AT55" i="5"/>
  <c r="AT50" i="5"/>
  <c r="AT53" i="5"/>
  <c r="AT48" i="5"/>
  <c r="AT56" i="5"/>
  <c r="AT61" i="5"/>
  <c r="AT59" i="5"/>
  <c r="AT46" i="5"/>
  <c r="AT57" i="5"/>
  <c r="AT60" i="5"/>
  <c r="AT58" i="5"/>
  <c r="AT51" i="5"/>
  <c r="AL54" i="5"/>
  <c r="AL49" i="5"/>
  <c r="AL52" i="5"/>
  <c r="AL47" i="5"/>
  <c r="AL55" i="5"/>
  <c r="AL50" i="5"/>
  <c r="AL58" i="5"/>
  <c r="AL53" i="5"/>
  <c r="AL48" i="5"/>
  <c r="AL56" i="5"/>
  <c r="AL61" i="5"/>
  <c r="AL57" i="5"/>
  <c r="AL59" i="5"/>
  <c r="AL46" i="5"/>
  <c r="AL51" i="5"/>
  <c r="AL60" i="5"/>
  <c r="AD54" i="5"/>
  <c r="AD49" i="5"/>
  <c r="AD57" i="5"/>
  <c r="AD52" i="5"/>
  <c r="AD47" i="5"/>
  <c r="AD55" i="5"/>
  <c r="AD50" i="5"/>
  <c r="AD58" i="5"/>
  <c r="AD53" i="5"/>
  <c r="AD48" i="5"/>
  <c r="AD56" i="5"/>
  <c r="AD61" i="5"/>
  <c r="AD59" i="5"/>
  <c r="AD46" i="5"/>
  <c r="AD51" i="5"/>
  <c r="AD60" i="5"/>
  <c r="V48" i="5"/>
  <c r="V56" i="5"/>
  <c r="V47" i="5"/>
  <c r="V55" i="5"/>
  <c r="V46" i="5"/>
  <c r="V54" i="5"/>
  <c r="V53" i="5"/>
  <c r="V61" i="5"/>
  <c r="V52" i="5"/>
  <c r="V60" i="5"/>
  <c r="V51" i="5"/>
  <c r="V59" i="5"/>
  <c r="V50" i="5"/>
  <c r="V58" i="5"/>
  <c r="V57" i="5"/>
  <c r="V49" i="5"/>
  <c r="N48" i="5"/>
  <c r="N56" i="5"/>
  <c r="N47" i="5"/>
  <c r="N55" i="5"/>
  <c r="N46" i="5"/>
  <c r="N54" i="5"/>
  <c r="N53" i="5"/>
  <c r="N61" i="5"/>
  <c r="N52" i="5"/>
  <c r="N60" i="5"/>
  <c r="N51" i="5"/>
  <c r="N59" i="5"/>
  <c r="N50" i="5"/>
  <c r="N58" i="5"/>
  <c r="N57" i="5"/>
  <c r="N49" i="5"/>
  <c r="F48" i="5"/>
  <c r="F56" i="5"/>
  <c r="F47" i="5"/>
  <c r="F55" i="5"/>
  <c r="F46" i="5"/>
  <c r="F54" i="5"/>
  <c r="F53" i="5"/>
  <c r="F61" i="5"/>
  <c r="F52" i="5"/>
  <c r="F60" i="5"/>
  <c r="F51" i="5"/>
  <c r="F59" i="5"/>
  <c r="F50" i="5"/>
  <c r="F58" i="5"/>
  <c r="F57" i="5"/>
  <c r="F49" i="5"/>
  <c r="AS49" i="5"/>
  <c r="AS57" i="5"/>
  <c r="AS52" i="5"/>
  <c r="AS47" i="5"/>
  <c r="AS55" i="5"/>
  <c r="AS50" i="5"/>
  <c r="AS53" i="5"/>
  <c r="AS48" i="5"/>
  <c r="AS56" i="5"/>
  <c r="AS51" i="5"/>
  <c r="AS54" i="5"/>
  <c r="AS59" i="5"/>
  <c r="AS46" i="5"/>
  <c r="AS60" i="5"/>
  <c r="AS61" i="5"/>
  <c r="AS58" i="5"/>
  <c r="AK49" i="5"/>
  <c r="AK57" i="5"/>
  <c r="AK52" i="5"/>
  <c r="AK47" i="5"/>
  <c r="AK55" i="5"/>
  <c r="AK50" i="5"/>
  <c r="AK58" i="5"/>
  <c r="AK53" i="5"/>
  <c r="AK48" i="5"/>
  <c r="AK56" i="5"/>
  <c r="AK51" i="5"/>
  <c r="AK59" i="5"/>
  <c r="AK46" i="5"/>
  <c r="AK60" i="5"/>
  <c r="AK54" i="5"/>
  <c r="AK61" i="5"/>
  <c r="AC49" i="5"/>
  <c r="AC57" i="5"/>
  <c r="AC52" i="5"/>
  <c r="AC47" i="5"/>
  <c r="AC55" i="5"/>
  <c r="AC50" i="5"/>
  <c r="AC58" i="5"/>
  <c r="AC53" i="5"/>
  <c r="AC48" i="5"/>
  <c r="AC56" i="5"/>
  <c r="AC51" i="5"/>
  <c r="AC59" i="5"/>
  <c r="AC46" i="5"/>
  <c r="AC60" i="5"/>
  <c r="AC61" i="5"/>
  <c r="AC54" i="5"/>
  <c r="U47" i="5"/>
  <c r="U55" i="5"/>
  <c r="U46" i="5"/>
  <c r="U54" i="5"/>
  <c r="U53" i="5"/>
  <c r="U61" i="5"/>
  <c r="U52" i="5"/>
  <c r="U60" i="5"/>
  <c r="U51" i="5"/>
  <c r="U59" i="5"/>
  <c r="U50" i="5"/>
  <c r="U58" i="5"/>
  <c r="U49" i="5"/>
  <c r="U57" i="5"/>
  <c r="U48" i="5"/>
  <c r="U56" i="5"/>
  <c r="M47" i="5"/>
  <c r="M55" i="5"/>
  <c r="M46" i="5"/>
  <c r="M54" i="5"/>
  <c r="M53" i="5"/>
  <c r="M61" i="5"/>
  <c r="M52" i="5"/>
  <c r="M60" i="5"/>
  <c r="M51" i="5"/>
  <c r="M59" i="5"/>
  <c r="M50" i="5"/>
  <c r="M58" i="5"/>
  <c r="M49" i="5"/>
  <c r="M57" i="5"/>
  <c r="M48" i="5"/>
  <c r="M56" i="5"/>
  <c r="E47" i="5"/>
  <c r="E55" i="5"/>
  <c r="E46" i="5"/>
  <c r="E54" i="5"/>
  <c r="E53" i="5"/>
  <c r="E61" i="5"/>
  <c r="E52" i="5"/>
  <c r="E60" i="5"/>
  <c r="E51" i="5"/>
  <c r="E59" i="5"/>
  <c r="E50" i="5"/>
  <c r="E58" i="5"/>
  <c r="E49" i="5"/>
  <c r="E57" i="5"/>
  <c r="E56" i="5"/>
  <c r="E48" i="5"/>
  <c r="Y42" i="5"/>
  <c r="C42" i="5"/>
  <c r="W54" i="4"/>
  <c r="X54" i="4"/>
  <c r="V54" i="4"/>
  <c r="Z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35" i="4"/>
  <c r="Z40" i="4"/>
  <c r="Z42" i="4"/>
  <c r="Z43" i="4"/>
  <c r="Z39" i="4"/>
  <c r="Z41" i="4"/>
  <c r="M35" i="4"/>
  <c r="P35" i="4" s="1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K19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35" i="4"/>
  <c r="P20" i="4"/>
  <c r="Z5" i="4"/>
  <c r="AA5" i="4"/>
  <c r="Z6" i="4"/>
  <c r="AA6" i="4"/>
  <c r="Z7" i="4"/>
  <c r="AA7" i="4"/>
  <c r="Z8" i="4"/>
  <c r="AA8" i="4"/>
  <c r="Z9" i="4"/>
  <c r="AA9" i="4"/>
  <c r="Z10" i="4"/>
  <c r="AA10" i="4"/>
  <c r="Z11" i="4"/>
  <c r="AA11" i="4"/>
  <c r="Z12" i="4"/>
  <c r="AA12" i="4"/>
  <c r="Z13" i="4"/>
  <c r="AA13" i="4"/>
  <c r="Z14" i="4"/>
  <c r="AA14" i="4"/>
  <c r="Z15" i="4"/>
  <c r="AA15" i="4"/>
  <c r="Z16" i="4"/>
  <c r="AA16" i="4"/>
  <c r="Z17" i="4"/>
  <c r="AA17" i="4"/>
  <c r="Z18" i="4"/>
  <c r="AA18" i="4"/>
  <c r="Z19" i="4"/>
  <c r="AA19" i="4"/>
  <c r="Z20" i="4"/>
  <c r="AA20" i="4"/>
  <c r="Z21" i="4"/>
  <c r="AA21" i="4"/>
  <c r="Z22" i="4"/>
  <c r="AA22" i="4"/>
  <c r="Z23" i="4"/>
  <c r="AA23" i="4"/>
  <c r="Z24" i="4"/>
  <c r="AA24" i="4"/>
  <c r="Z25" i="4"/>
  <c r="AA25" i="4"/>
  <c r="Z26" i="4"/>
  <c r="AA26" i="4"/>
  <c r="Z27" i="4"/>
  <c r="AA27" i="4"/>
  <c r="Z28" i="4"/>
  <c r="AA28" i="4"/>
  <c r="Z29" i="4"/>
  <c r="AA29" i="4"/>
  <c r="Z30" i="4"/>
  <c r="AA30" i="4"/>
  <c r="Z31" i="4"/>
  <c r="AA31" i="4"/>
  <c r="Z32" i="4"/>
  <c r="AA32" i="4"/>
  <c r="Z33" i="4"/>
  <c r="AA33" i="4"/>
  <c r="Z34" i="4"/>
  <c r="AA34" i="4"/>
  <c r="Z35" i="4"/>
  <c r="AA35" i="4"/>
  <c r="Z36" i="4"/>
  <c r="AA36" i="4"/>
  <c r="Z37" i="4"/>
  <c r="AA37" i="4"/>
  <c r="Z38" i="4"/>
  <c r="AA38" i="4"/>
  <c r="AA39" i="4"/>
  <c r="Z44" i="4"/>
  <c r="AA44" i="4"/>
  <c r="Z45" i="4"/>
  <c r="AA45" i="4"/>
  <c r="Z46" i="4"/>
  <c r="AA46" i="4"/>
  <c r="Z4" i="4"/>
  <c r="AA4" i="4"/>
  <c r="O71" i="4" l="1"/>
  <c r="P71" i="4"/>
  <c r="Q71" i="4" s="1"/>
  <c r="I48" i="6"/>
  <c r="I49" i="6"/>
  <c r="I50" i="6"/>
  <c r="I51" i="6"/>
  <c r="I52" i="6"/>
  <c r="I45" i="6"/>
  <c r="I53" i="6"/>
  <c r="I46" i="6"/>
  <c r="I54" i="6"/>
  <c r="I47" i="6"/>
  <c r="J30" i="6"/>
  <c r="J33" i="6"/>
  <c r="J31" i="6"/>
  <c r="J32" i="6"/>
  <c r="J28" i="6"/>
  <c r="J41" i="6"/>
  <c r="J29" i="6"/>
  <c r="J27" i="6"/>
  <c r="J34" i="6"/>
  <c r="J36" i="6"/>
  <c r="J26" i="6"/>
  <c r="J40" i="6"/>
  <c r="J39" i="6"/>
  <c r="J37" i="6"/>
  <c r="J35" i="6"/>
  <c r="J38" i="6"/>
  <c r="I65" i="6"/>
  <c r="I62" i="6"/>
  <c r="I59" i="6"/>
  <c r="I67" i="6"/>
  <c r="I64" i="6"/>
  <c r="I58" i="6"/>
  <c r="I66" i="6"/>
  <c r="I63" i="6"/>
  <c r="I60" i="6"/>
  <c r="I61" i="6"/>
  <c r="K25" i="6"/>
  <c r="J9" i="6"/>
  <c r="J21" i="6"/>
  <c r="J12" i="6"/>
  <c r="J17" i="6"/>
  <c r="J16" i="6"/>
  <c r="J14" i="6"/>
  <c r="J10" i="6"/>
  <c r="J13" i="6"/>
  <c r="J8" i="6"/>
  <c r="J18" i="6"/>
  <c r="J15" i="6"/>
  <c r="J11" i="6"/>
  <c r="J6" i="6"/>
  <c r="J7" i="6"/>
  <c r="J19" i="6"/>
  <c r="J20" i="6"/>
  <c r="L35" i="4"/>
  <c r="O35" i="4"/>
  <c r="L49" i="4"/>
  <c r="S35" i="4"/>
  <c r="R35" i="4"/>
  <c r="Q35" i="4"/>
  <c r="L43" i="4"/>
  <c r="L50" i="4"/>
  <c r="L42" i="4"/>
  <c r="L41" i="4"/>
  <c r="L48" i="4"/>
  <c r="L40" i="4"/>
  <c r="L47" i="4"/>
  <c r="L39" i="4"/>
  <c r="L46" i="4"/>
  <c r="L38" i="4"/>
  <c r="L45" i="4"/>
  <c r="L37" i="4"/>
  <c r="L44" i="4"/>
  <c r="L36" i="4"/>
  <c r="AA40" i="4"/>
  <c r="AA41" i="4"/>
  <c r="AA42" i="4"/>
  <c r="AA43" i="4"/>
  <c r="Y5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2" i="4"/>
  <c r="J47" i="6" l="1"/>
  <c r="J48" i="6"/>
  <c r="J49" i="6"/>
  <c r="J50" i="6"/>
  <c r="J51" i="6"/>
  <c r="J52" i="6"/>
  <c r="J45" i="6"/>
  <c r="J53" i="6"/>
  <c r="J46" i="6"/>
  <c r="J54" i="6"/>
  <c r="J60" i="6"/>
  <c r="J65" i="6"/>
  <c r="J62" i="6"/>
  <c r="J59" i="6"/>
  <c r="J67" i="6"/>
  <c r="J61" i="6"/>
  <c r="J58" i="6"/>
  <c r="J66" i="6"/>
  <c r="J63" i="6"/>
  <c r="J64" i="6"/>
  <c r="K32" i="6"/>
  <c r="K35" i="6"/>
  <c r="K27" i="6"/>
  <c r="K40" i="6"/>
  <c r="K39" i="6"/>
  <c r="K38" i="6"/>
  <c r="K37" i="6"/>
  <c r="K36" i="6"/>
  <c r="K26" i="6"/>
  <c r="K41" i="6"/>
  <c r="K29" i="6"/>
  <c r="K31" i="6"/>
  <c r="K33" i="6"/>
  <c r="K34" i="6"/>
  <c r="K28" i="6"/>
  <c r="K30" i="6"/>
  <c r="L25" i="6"/>
  <c r="K10" i="6"/>
  <c r="K21" i="6"/>
  <c r="K18" i="6"/>
  <c r="K19" i="6"/>
  <c r="K16" i="6"/>
  <c r="K6" i="6"/>
  <c r="K9" i="6"/>
  <c r="K14" i="6"/>
  <c r="K8" i="6"/>
  <c r="K11" i="6"/>
  <c r="K12" i="6"/>
  <c r="K7" i="6"/>
  <c r="K13" i="6"/>
  <c r="K20" i="6"/>
  <c r="K17" i="6"/>
  <c r="K15" i="6"/>
  <c r="Y6" i="4"/>
  <c r="S22" i="3"/>
  <c r="R22" i="3" s="1"/>
  <c r="L22" i="3" s="1"/>
  <c r="J22" i="3" s="1"/>
  <c r="M22" i="3" s="1"/>
  <c r="S21" i="3"/>
  <c r="R21" i="3" s="1"/>
  <c r="L21" i="3" s="1"/>
  <c r="J21" i="3" s="1"/>
  <c r="M21" i="3" s="1"/>
  <c r="S20" i="3"/>
  <c r="R20" i="3" s="1"/>
  <c r="L20" i="3" s="1"/>
  <c r="J20" i="3" s="1"/>
  <c r="M20" i="3" s="1"/>
  <c r="S19" i="3"/>
  <c r="S18" i="3"/>
  <c r="S17" i="3"/>
  <c r="R17" i="3" s="1"/>
  <c r="L17" i="3" s="1"/>
  <c r="J17" i="3" s="1"/>
  <c r="M17" i="3" s="1"/>
  <c r="S16" i="3"/>
  <c r="R16" i="3" s="1"/>
  <c r="L16" i="3" s="1"/>
  <c r="J16" i="3" s="1"/>
  <c r="M16" i="3" s="1"/>
  <c r="S15" i="3"/>
  <c r="R15" i="3" s="1"/>
  <c r="L15" i="3" s="1"/>
  <c r="J15" i="3" s="1"/>
  <c r="M15" i="3" s="1"/>
  <c r="S14" i="3"/>
  <c r="R14" i="3" s="1"/>
  <c r="L14" i="3" s="1"/>
  <c r="J14" i="3" s="1"/>
  <c r="M14" i="3" s="1"/>
  <c r="S8" i="3"/>
  <c r="R8" i="3" s="1"/>
  <c r="L8" i="3" s="1"/>
  <c r="J8" i="3" s="1"/>
  <c r="M8" i="3" s="1"/>
  <c r="S5" i="3"/>
  <c r="S11" i="3"/>
  <c r="V26" i="3"/>
  <c r="W26" i="3" s="1"/>
  <c r="X26" i="3" s="1"/>
  <c r="V27" i="3"/>
  <c r="W27" i="3" s="1"/>
  <c r="V28" i="3"/>
  <c r="W28" i="3" s="1"/>
  <c r="V29" i="3"/>
  <c r="W29" i="3" s="1"/>
  <c r="V30" i="3"/>
  <c r="W30" i="3" s="1"/>
  <c r="V31" i="3"/>
  <c r="W31" i="3" s="1"/>
  <c r="V32" i="3"/>
  <c r="W32" i="3" s="1"/>
  <c r="V33" i="3"/>
  <c r="W33" i="3" s="1"/>
  <c r="V34" i="3"/>
  <c r="W34" i="3" s="1"/>
  <c r="X34" i="3" s="1"/>
  <c r="V25" i="3"/>
  <c r="W25" i="3" s="1"/>
  <c r="N22" i="3"/>
  <c r="N21" i="3"/>
  <c r="N20" i="3"/>
  <c r="N19" i="3"/>
  <c r="N18" i="3"/>
  <c r="N17" i="3"/>
  <c r="N16" i="3"/>
  <c r="N15" i="3"/>
  <c r="N14" i="3"/>
  <c r="N5" i="3"/>
  <c r="N6" i="3"/>
  <c r="N7" i="3"/>
  <c r="N8" i="3"/>
  <c r="N9" i="3"/>
  <c r="N10" i="3"/>
  <c r="N11" i="3"/>
  <c r="N12" i="3"/>
  <c r="N4" i="3"/>
  <c r="U22" i="3"/>
  <c r="O22" i="3" s="1"/>
  <c r="T22" i="3"/>
  <c r="T21" i="3"/>
  <c r="U20" i="3"/>
  <c r="O20" i="3" s="1"/>
  <c r="T20" i="3"/>
  <c r="U19" i="3"/>
  <c r="O19" i="3" s="1"/>
  <c r="T19" i="3"/>
  <c r="R19" i="3"/>
  <c r="L19" i="3" s="1"/>
  <c r="J19" i="3" s="1"/>
  <c r="M19" i="3" s="1"/>
  <c r="T18" i="3"/>
  <c r="R18" i="3"/>
  <c r="L18" i="3" s="1"/>
  <c r="J18" i="3" s="1"/>
  <c r="M18" i="3" s="1"/>
  <c r="U17" i="3"/>
  <c r="O17" i="3" s="1"/>
  <c r="T17" i="3"/>
  <c r="U16" i="3"/>
  <c r="O16" i="3" s="1"/>
  <c r="T16" i="3"/>
  <c r="T15" i="3"/>
  <c r="U14" i="3"/>
  <c r="O14" i="3" s="1"/>
  <c r="T14" i="3"/>
  <c r="R5" i="3"/>
  <c r="L5" i="3" s="1"/>
  <c r="S6" i="3"/>
  <c r="S7" i="3"/>
  <c r="R7" i="3" s="1"/>
  <c r="L7" i="3" s="1"/>
  <c r="S9" i="3"/>
  <c r="R9" i="3" s="1"/>
  <c r="L9" i="3" s="1"/>
  <c r="S10" i="3"/>
  <c r="R10" i="3" s="1"/>
  <c r="L10" i="3" s="1"/>
  <c r="S12" i="3"/>
  <c r="R12" i="3" s="1"/>
  <c r="S4" i="3"/>
  <c r="R4" i="3" s="1"/>
  <c r="T5" i="3"/>
  <c r="T6" i="3"/>
  <c r="T7" i="3"/>
  <c r="T8" i="3"/>
  <c r="T9" i="3"/>
  <c r="T10" i="3"/>
  <c r="T11" i="3"/>
  <c r="T12" i="3"/>
  <c r="T4" i="3"/>
  <c r="U6" i="3"/>
  <c r="O6" i="3" s="1"/>
  <c r="U7" i="3"/>
  <c r="O7" i="3" s="1"/>
  <c r="U9" i="3"/>
  <c r="O9" i="3" s="1"/>
  <c r="U10" i="3"/>
  <c r="O10" i="3" s="1"/>
  <c r="U12" i="3"/>
  <c r="O12" i="3" s="1"/>
  <c r="U4" i="3"/>
  <c r="O4" i="3" s="1"/>
  <c r="F21" i="3"/>
  <c r="U21" i="3" s="1"/>
  <c r="O21" i="3" s="1"/>
  <c r="F18" i="3"/>
  <c r="U18" i="3" s="1"/>
  <c r="O18" i="3" s="1"/>
  <c r="F15" i="3"/>
  <c r="U15" i="3" s="1"/>
  <c r="O15" i="3" s="1"/>
  <c r="F11" i="3"/>
  <c r="U11" i="3" s="1"/>
  <c r="O11" i="3" s="1"/>
  <c r="F8" i="3"/>
  <c r="U8" i="3" s="1"/>
  <c r="O8" i="3" s="1"/>
  <c r="F5" i="3"/>
  <c r="U5" i="3" s="1"/>
  <c r="O5" i="3" s="1"/>
  <c r="X28" i="3" l="1"/>
  <c r="X25" i="3"/>
  <c r="X33" i="3"/>
  <c r="X30" i="3"/>
  <c r="T30" i="3"/>
  <c r="X29" i="3"/>
  <c r="X27" i="3"/>
  <c r="X31" i="3"/>
  <c r="J10" i="3"/>
  <c r="M10" i="3" s="1"/>
  <c r="V10" i="3"/>
  <c r="J9" i="3"/>
  <c r="M9" i="3" s="1"/>
  <c r="V9" i="3"/>
  <c r="J7" i="3"/>
  <c r="M7" i="3" s="1"/>
  <c r="V7" i="3"/>
  <c r="T29" i="3"/>
  <c r="T28" i="3"/>
  <c r="T33" i="3"/>
  <c r="T27" i="3"/>
  <c r="X32" i="3"/>
  <c r="T25" i="3"/>
  <c r="R6" i="3"/>
  <c r="L6" i="3" s="1"/>
  <c r="T26" i="3"/>
  <c r="K46" i="6"/>
  <c r="K54" i="6"/>
  <c r="K47" i="6"/>
  <c r="K48" i="6"/>
  <c r="K49" i="6"/>
  <c r="K50" i="6"/>
  <c r="K51" i="6"/>
  <c r="K52" i="6"/>
  <c r="K45" i="6"/>
  <c r="K53" i="6"/>
  <c r="L30" i="6"/>
  <c r="L38" i="6"/>
  <c r="L37" i="6"/>
  <c r="L26" i="6"/>
  <c r="L31" i="6"/>
  <c r="L29" i="6"/>
  <c r="L35" i="6"/>
  <c r="L28" i="6"/>
  <c r="L41" i="6"/>
  <c r="L40" i="6"/>
  <c r="L39" i="6"/>
  <c r="L36" i="6"/>
  <c r="L33" i="6"/>
  <c r="L32" i="6"/>
  <c r="L27" i="6"/>
  <c r="L34" i="6"/>
  <c r="K63" i="6"/>
  <c r="K60" i="6"/>
  <c r="K65" i="6"/>
  <c r="K62" i="6"/>
  <c r="K64" i="6"/>
  <c r="K61" i="6"/>
  <c r="K58" i="6"/>
  <c r="K66" i="6"/>
  <c r="K67" i="6"/>
  <c r="K59" i="6"/>
  <c r="M25" i="6"/>
  <c r="L11" i="6"/>
  <c r="L9" i="6"/>
  <c r="L10" i="6"/>
  <c r="L19" i="6"/>
  <c r="L6" i="6"/>
  <c r="L20" i="6"/>
  <c r="L8" i="6"/>
  <c r="L12" i="6"/>
  <c r="L7" i="6"/>
  <c r="L17" i="6"/>
  <c r="L15" i="6"/>
  <c r="L18" i="6"/>
  <c r="L16" i="6"/>
  <c r="L13" i="6"/>
  <c r="L21" i="6"/>
  <c r="L14" i="6"/>
  <c r="Y7" i="4"/>
  <c r="T31" i="3"/>
  <c r="V8" i="3"/>
  <c r="J5" i="3"/>
  <c r="M5" i="3" s="1"/>
  <c r="V5" i="3"/>
  <c r="T32" i="3"/>
  <c r="R11" i="3"/>
  <c r="L11" i="3" s="1"/>
  <c r="L4" i="3"/>
  <c r="L12" i="3"/>
  <c r="AM54" i="2"/>
  <c r="AP54" i="2" s="1"/>
  <c r="AQ54" i="2" s="1"/>
  <c r="AM55" i="2"/>
  <c r="AP55" i="2" s="1"/>
  <c r="AQ55" i="2" s="1"/>
  <c r="AM56" i="2"/>
  <c r="AM57" i="2"/>
  <c r="AM58" i="2"/>
  <c r="AM59" i="2"/>
  <c r="AM60" i="2"/>
  <c r="AM61" i="2"/>
  <c r="AP61" i="2" s="1"/>
  <c r="AQ61" i="2" s="1"/>
  <c r="AM62" i="2"/>
  <c r="AM63" i="2"/>
  <c r="AM64" i="2"/>
  <c r="AM65" i="2"/>
  <c r="AM66" i="2"/>
  <c r="AP66" i="2" s="1"/>
  <c r="AQ66" i="2" s="1"/>
  <c r="AM67" i="2"/>
  <c r="AP67" i="2" s="1"/>
  <c r="AQ67" i="2" s="1"/>
  <c r="AM68" i="2"/>
  <c r="AM69" i="2"/>
  <c r="AP69" i="2" s="1"/>
  <c r="AQ69" i="2" s="1"/>
  <c r="AM70" i="2"/>
  <c r="AM71" i="2"/>
  <c r="AP71" i="2" s="1"/>
  <c r="AQ71" i="2" s="1"/>
  <c r="AM72" i="2"/>
  <c r="AM73" i="2"/>
  <c r="AP73" i="2" s="1"/>
  <c r="AQ73" i="2" s="1"/>
  <c r="AM53" i="2"/>
  <c r="AP53" i="2" s="1"/>
  <c r="AQ53" i="2" s="1"/>
  <c r="AC54" i="2"/>
  <c r="AC55" i="2"/>
  <c r="AC56" i="2"/>
  <c r="AC57" i="2"/>
  <c r="AF57" i="2" s="1"/>
  <c r="AG57" i="2" s="1"/>
  <c r="AC58" i="2"/>
  <c r="AC59" i="2"/>
  <c r="AC60" i="2"/>
  <c r="AC61" i="2"/>
  <c r="AF61" i="2" s="1"/>
  <c r="AG61" i="2" s="1"/>
  <c r="AC62" i="2"/>
  <c r="AF62" i="2" s="1"/>
  <c r="AG62" i="2" s="1"/>
  <c r="AC63" i="2"/>
  <c r="AC64" i="2"/>
  <c r="AC65" i="2"/>
  <c r="AF65" i="2" s="1"/>
  <c r="AG65" i="2" s="1"/>
  <c r="AC66" i="2"/>
  <c r="AC67" i="2"/>
  <c r="AC68" i="2"/>
  <c r="AC69" i="2"/>
  <c r="AF69" i="2" s="1"/>
  <c r="AG69" i="2" s="1"/>
  <c r="AC70" i="2"/>
  <c r="AC71" i="2"/>
  <c r="AC72" i="2"/>
  <c r="AF72" i="2" s="1"/>
  <c r="AG72" i="2" s="1"/>
  <c r="AC73" i="2"/>
  <c r="AF73" i="2" s="1"/>
  <c r="AG73" i="2" s="1"/>
  <c r="AC53" i="2"/>
  <c r="AF71" i="2"/>
  <c r="AG71" i="2" s="1"/>
  <c r="AF70" i="2"/>
  <c r="AG70" i="2" s="1"/>
  <c r="AP68" i="2"/>
  <c r="AQ68" i="2" s="1"/>
  <c r="AF67" i="2"/>
  <c r="AG67" i="2" s="1"/>
  <c r="AF66" i="2"/>
  <c r="AG66" i="2" s="1"/>
  <c r="AP65" i="2"/>
  <c r="AQ65" i="2" s="1"/>
  <c r="AP64" i="2"/>
  <c r="AQ64" i="2" s="1"/>
  <c r="AP63" i="2"/>
  <c r="AQ63" i="2" s="1"/>
  <c r="AF63" i="2"/>
  <c r="AG63" i="2" s="1"/>
  <c r="AP60" i="2"/>
  <c r="AQ60" i="2" s="1"/>
  <c r="AF60" i="2"/>
  <c r="AG60" i="2" s="1"/>
  <c r="AP59" i="2"/>
  <c r="AQ59" i="2" s="1"/>
  <c r="AF59" i="2"/>
  <c r="AG59" i="2" s="1"/>
  <c r="AF58" i="2"/>
  <c r="AG58" i="2" s="1"/>
  <c r="AP57" i="2"/>
  <c r="AQ57" i="2" s="1"/>
  <c r="AP56" i="2"/>
  <c r="AQ56" i="2" s="1"/>
  <c r="AF55" i="2"/>
  <c r="AG55" i="2" s="1"/>
  <c r="AF54" i="2"/>
  <c r="AG54" i="2" s="1"/>
  <c r="AF53" i="2"/>
  <c r="AG53" i="2" s="1"/>
  <c r="AM38" i="2"/>
  <c r="AO38" i="2" s="1"/>
  <c r="AN38" i="2"/>
  <c r="AM39" i="2"/>
  <c r="AO39" i="2" s="1"/>
  <c r="AN39" i="2"/>
  <c r="AM40" i="2"/>
  <c r="AP40" i="2" s="1"/>
  <c r="AQ40" i="2" s="1"/>
  <c r="AN40" i="2"/>
  <c r="AM41" i="2"/>
  <c r="AO41" i="2" s="1"/>
  <c r="AN41" i="2"/>
  <c r="AM42" i="2"/>
  <c r="AO42" i="2" s="1"/>
  <c r="AN42" i="2"/>
  <c r="AM43" i="2"/>
  <c r="AO43" i="2" s="1"/>
  <c r="AN43" i="2"/>
  <c r="AM44" i="2"/>
  <c r="AP44" i="2" s="1"/>
  <c r="AQ44" i="2" s="1"/>
  <c r="AN44" i="2"/>
  <c r="AM45" i="2"/>
  <c r="AO45" i="2" s="1"/>
  <c r="AN45" i="2"/>
  <c r="AP45" i="2"/>
  <c r="AQ45" i="2" s="1"/>
  <c r="AM46" i="2"/>
  <c r="AO46" i="2" s="1"/>
  <c r="AN46" i="2"/>
  <c r="AM47" i="2"/>
  <c r="AO47" i="2" s="1"/>
  <c r="AN47" i="2"/>
  <c r="AC38" i="2"/>
  <c r="AE38" i="2" s="1"/>
  <c r="AD38" i="2"/>
  <c r="AC39" i="2"/>
  <c r="AE39" i="2" s="1"/>
  <c r="AD39" i="2"/>
  <c r="AC40" i="2"/>
  <c r="AE40" i="2" s="1"/>
  <c r="AD40" i="2"/>
  <c r="AC41" i="2"/>
  <c r="AE41" i="2" s="1"/>
  <c r="AD41" i="2"/>
  <c r="AC42" i="2"/>
  <c r="AE42" i="2" s="1"/>
  <c r="AD42" i="2"/>
  <c r="AC43" i="2"/>
  <c r="AE43" i="2" s="1"/>
  <c r="AD43" i="2"/>
  <c r="AC44" i="2"/>
  <c r="AE44" i="2" s="1"/>
  <c r="AD44" i="2"/>
  <c r="AC45" i="2"/>
  <c r="AE45" i="2" s="1"/>
  <c r="AD45" i="2"/>
  <c r="AC46" i="2"/>
  <c r="AE46" i="2" s="1"/>
  <c r="AD46" i="2"/>
  <c r="AC47" i="2"/>
  <c r="AE47" i="2" s="1"/>
  <c r="AD47" i="2"/>
  <c r="AM28" i="2"/>
  <c r="AM29" i="2"/>
  <c r="AM30" i="2"/>
  <c r="AO30" i="2" s="1"/>
  <c r="AM31" i="2"/>
  <c r="AO31" i="2" s="1"/>
  <c r="AM32" i="2"/>
  <c r="AM33" i="2"/>
  <c r="AM34" i="2"/>
  <c r="AO34" i="2" s="1"/>
  <c r="AM35" i="2"/>
  <c r="AO35" i="2" s="1"/>
  <c r="AM36" i="2"/>
  <c r="AP36" i="2" s="1"/>
  <c r="AQ36" i="2" s="1"/>
  <c r="AM37" i="2"/>
  <c r="AM27" i="2"/>
  <c r="AO27" i="2" s="1"/>
  <c r="AO28" i="2"/>
  <c r="AN28" i="2"/>
  <c r="AO29" i="2"/>
  <c r="AN29" i="2"/>
  <c r="AN30" i="2"/>
  <c r="AN31" i="2"/>
  <c r="AO32" i="2"/>
  <c r="AN32" i="2"/>
  <c r="AP33" i="2"/>
  <c r="AQ33" i="2" s="1"/>
  <c r="AN33" i="2"/>
  <c r="AN34" i="2"/>
  <c r="AN35" i="2"/>
  <c r="AN36" i="2"/>
  <c r="AO36" i="2"/>
  <c r="AP37" i="2"/>
  <c r="AQ37" i="2" s="1"/>
  <c r="AN37" i="2"/>
  <c r="AC28" i="2"/>
  <c r="AE28" i="2" s="1"/>
  <c r="AD28" i="2"/>
  <c r="AC29" i="2"/>
  <c r="AE29" i="2" s="1"/>
  <c r="AD29" i="2"/>
  <c r="AC30" i="2"/>
  <c r="AE30" i="2" s="1"/>
  <c r="AD30" i="2"/>
  <c r="AC31" i="2"/>
  <c r="AE31" i="2" s="1"/>
  <c r="AD31" i="2"/>
  <c r="AC32" i="2"/>
  <c r="AE32" i="2" s="1"/>
  <c r="AD32" i="2"/>
  <c r="AC33" i="2"/>
  <c r="AE33" i="2" s="1"/>
  <c r="AD33" i="2"/>
  <c r="AC34" i="2"/>
  <c r="AE34" i="2" s="1"/>
  <c r="AD34" i="2"/>
  <c r="AC35" i="2"/>
  <c r="AE35" i="2" s="1"/>
  <c r="AD35" i="2"/>
  <c r="AC36" i="2"/>
  <c r="AE36" i="2" s="1"/>
  <c r="AD36" i="2"/>
  <c r="AC37" i="2"/>
  <c r="AE37" i="2" s="1"/>
  <c r="AD37" i="2"/>
  <c r="AF27" i="2"/>
  <c r="AN27" i="2"/>
  <c r="AD27" i="2"/>
  <c r="AC27" i="2"/>
  <c r="AE27" i="2" s="1"/>
  <c r="J6" i="3" l="1"/>
  <c r="M6" i="3" s="1"/>
  <c r="V6" i="3"/>
  <c r="J12" i="3"/>
  <c r="M12" i="3" s="1"/>
  <c r="V12" i="3"/>
  <c r="J4" i="3"/>
  <c r="V4" i="3"/>
  <c r="L45" i="6"/>
  <c r="L53" i="6"/>
  <c r="L46" i="6"/>
  <c r="L54" i="6"/>
  <c r="L47" i="6"/>
  <c r="L48" i="6"/>
  <c r="L49" i="6"/>
  <c r="L50" i="6"/>
  <c r="L51" i="6"/>
  <c r="L52" i="6"/>
  <c r="M34" i="6"/>
  <c r="M36" i="6"/>
  <c r="M33" i="6"/>
  <c r="M35" i="6"/>
  <c r="M27" i="6"/>
  <c r="M32" i="6"/>
  <c r="M30" i="6"/>
  <c r="M28" i="6"/>
  <c r="M38" i="6"/>
  <c r="M41" i="6"/>
  <c r="M37" i="6"/>
  <c r="M31" i="6"/>
  <c r="M40" i="6"/>
  <c r="M26" i="6"/>
  <c r="M39" i="6"/>
  <c r="M29" i="6"/>
  <c r="L58" i="6"/>
  <c r="L66" i="6"/>
  <c r="L63" i="6"/>
  <c r="L60" i="6"/>
  <c r="L65" i="6"/>
  <c r="L59" i="6"/>
  <c r="L67" i="6"/>
  <c r="L64" i="6"/>
  <c r="L61" i="6"/>
  <c r="L62" i="6"/>
  <c r="N25" i="6"/>
  <c r="M12" i="6"/>
  <c r="M19" i="6"/>
  <c r="M17" i="6"/>
  <c r="M20" i="6"/>
  <c r="M13" i="6"/>
  <c r="M8" i="6"/>
  <c r="M10" i="6"/>
  <c r="M18" i="6"/>
  <c r="M16" i="6"/>
  <c r="M9" i="6"/>
  <c r="M7" i="6"/>
  <c r="M6" i="6"/>
  <c r="M21" i="6"/>
  <c r="M14" i="6"/>
  <c r="M11" i="6"/>
  <c r="M15" i="6"/>
  <c r="Y8" i="4"/>
  <c r="J11" i="3"/>
  <c r="M11" i="3" s="1"/>
  <c r="V11" i="3"/>
  <c r="AF35" i="2"/>
  <c r="AG35" i="2" s="1"/>
  <c r="AF30" i="2"/>
  <c r="AG30" i="2" s="1"/>
  <c r="AF34" i="2"/>
  <c r="AG34" i="2" s="1"/>
  <c r="AF31" i="2"/>
  <c r="AG31" i="2" s="1"/>
  <c r="AP35" i="2"/>
  <c r="AQ35" i="2" s="1"/>
  <c r="AP31" i="2"/>
  <c r="AQ31" i="2" s="1"/>
  <c r="AF40" i="2"/>
  <c r="AG40" i="2" s="1"/>
  <c r="AH40" i="2" s="1"/>
  <c r="AP39" i="2"/>
  <c r="AQ39" i="2" s="1"/>
  <c r="AP30" i="2"/>
  <c r="AQ30" i="2" s="1"/>
  <c r="AH60" i="2"/>
  <c r="AH69" i="2"/>
  <c r="AH55" i="2"/>
  <c r="AH59" i="2"/>
  <c r="AH67" i="2"/>
  <c r="AH71" i="2"/>
  <c r="AP58" i="2"/>
  <c r="AQ58" i="2" s="1"/>
  <c r="AH58" i="2" s="1"/>
  <c r="AH63" i="2"/>
  <c r="AP70" i="2"/>
  <c r="AQ70" i="2" s="1"/>
  <c r="AP72" i="2"/>
  <c r="AQ72" i="2" s="1"/>
  <c r="AH72" i="2" s="1"/>
  <c r="AH73" i="2"/>
  <c r="AH65" i="2"/>
  <c r="AH61" i="2"/>
  <c r="AH70" i="2"/>
  <c r="AH66" i="2"/>
  <c r="AP62" i="2"/>
  <c r="AQ62" i="2" s="1"/>
  <c r="AH62" i="2" s="1"/>
  <c r="AF64" i="2"/>
  <c r="AG64" i="2" s="1"/>
  <c r="AH64" i="2" s="1"/>
  <c r="AF56" i="2"/>
  <c r="AG56" i="2" s="1"/>
  <c r="AH56" i="2" s="1"/>
  <c r="AF68" i="2"/>
  <c r="AG68" i="2" s="1"/>
  <c r="AH68" i="2" s="1"/>
  <c r="AH53" i="2"/>
  <c r="AH57" i="2"/>
  <c r="AH54" i="2"/>
  <c r="AP43" i="2"/>
  <c r="AQ43" i="2" s="1"/>
  <c r="AO40" i="2"/>
  <c r="AP47" i="2"/>
  <c r="AQ47" i="2" s="1"/>
  <c r="AO44" i="2"/>
  <c r="AP41" i="2"/>
  <c r="AQ41" i="2" s="1"/>
  <c r="AP46" i="2"/>
  <c r="AQ46" i="2" s="1"/>
  <c r="AP42" i="2"/>
  <c r="AQ42" i="2" s="1"/>
  <c r="AP38" i="2"/>
  <c r="AQ38" i="2" s="1"/>
  <c r="AF47" i="2"/>
  <c r="AG47" i="2" s="1"/>
  <c r="AH47" i="2" s="1"/>
  <c r="AF46" i="2"/>
  <c r="AG46" i="2" s="1"/>
  <c r="AH46" i="2" s="1"/>
  <c r="AF45" i="2"/>
  <c r="AG45" i="2" s="1"/>
  <c r="AH45" i="2" s="1"/>
  <c r="AF44" i="2"/>
  <c r="AG44" i="2" s="1"/>
  <c r="AH44" i="2" s="1"/>
  <c r="AF43" i="2"/>
  <c r="AG43" i="2" s="1"/>
  <c r="AF42" i="2"/>
  <c r="AG42" i="2" s="1"/>
  <c r="AH42" i="2" s="1"/>
  <c r="AF41" i="2"/>
  <c r="AG41" i="2" s="1"/>
  <c r="AH41" i="2" s="1"/>
  <c r="AF39" i="2"/>
  <c r="AG39" i="2" s="1"/>
  <c r="AF38" i="2"/>
  <c r="AG38" i="2" s="1"/>
  <c r="AH38" i="2" s="1"/>
  <c r="AP34" i="2"/>
  <c r="AQ34" i="2" s="1"/>
  <c r="AP29" i="2"/>
  <c r="AQ29" i="2" s="1"/>
  <c r="AO37" i="2"/>
  <c r="AO33" i="2"/>
  <c r="AP32" i="2"/>
  <c r="AQ32" i="2" s="1"/>
  <c r="AP28" i="2"/>
  <c r="AQ28" i="2" s="1"/>
  <c r="AF37" i="2"/>
  <c r="AG37" i="2" s="1"/>
  <c r="AH37" i="2" s="1"/>
  <c r="AF33" i="2"/>
  <c r="AG33" i="2" s="1"/>
  <c r="AH33" i="2" s="1"/>
  <c r="AF29" i="2"/>
  <c r="AG29" i="2" s="1"/>
  <c r="AF36" i="2"/>
  <c r="AG36" i="2" s="1"/>
  <c r="AH36" i="2" s="1"/>
  <c r="AF32" i="2"/>
  <c r="AG32" i="2" s="1"/>
  <c r="AH32" i="2" s="1"/>
  <c r="AF28" i="2"/>
  <c r="AG28" i="2" s="1"/>
  <c r="AP27" i="2"/>
  <c r="AQ27" i="2" s="1"/>
  <c r="AG27" i="2"/>
  <c r="P10" i="2"/>
  <c r="Q10" i="2" s="1"/>
  <c r="P7" i="2"/>
  <c r="Q7" i="2" s="1"/>
  <c r="P4" i="2"/>
  <c r="Q4" i="2" s="1"/>
  <c r="P5" i="2"/>
  <c r="Q5" i="2" s="1"/>
  <c r="P6" i="2"/>
  <c r="Q6" i="2" s="1"/>
  <c r="P8" i="2"/>
  <c r="Q8" i="2" s="1"/>
  <c r="P9" i="2"/>
  <c r="P11" i="2"/>
  <c r="Q11" i="2" s="1"/>
  <c r="P3" i="2"/>
  <c r="Q3" i="2" s="1"/>
  <c r="Q9" i="2" l="1"/>
  <c r="M52" i="6"/>
  <c r="M45" i="6"/>
  <c r="M53" i="6"/>
  <c r="M46" i="6"/>
  <c r="M54" i="6"/>
  <c r="M47" i="6"/>
  <c r="M48" i="6"/>
  <c r="M49" i="6"/>
  <c r="M50" i="6"/>
  <c r="M51" i="6"/>
  <c r="N26" i="6"/>
  <c r="N36" i="6"/>
  <c r="N29" i="6"/>
  <c r="N27" i="6"/>
  <c r="N30" i="6"/>
  <c r="N41" i="6"/>
  <c r="N40" i="6"/>
  <c r="N39" i="6"/>
  <c r="N38" i="6"/>
  <c r="N35" i="6"/>
  <c r="N34" i="6"/>
  <c r="N28" i="6"/>
  <c r="N31" i="6"/>
  <c r="N32" i="6"/>
  <c r="N33" i="6"/>
  <c r="N37" i="6"/>
  <c r="M61" i="6"/>
  <c r="M58" i="6"/>
  <c r="M66" i="6"/>
  <c r="M63" i="6"/>
  <c r="M60" i="6"/>
  <c r="M62" i="6"/>
  <c r="M59" i="6"/>
  <c r="M67" i="6"/>
  <c r="M64" i="6"/>
  <c r="M65" i="6"/>
  <c r="O25" i="6"/>
  <c r="N9" i="6"/>
  <c r="N20" i="6"/>
  <c r="N15" i="6"/>
  <c r="N17" i="6"/>
  <c r="N12" i="6"/>
  <c r="N21" i="6"/>
  <c r="N13" i="6"/>
  <c r="N14" i="6"/>
  <c r="N10" i="6"/>
  <c r="N16" i="6"/>
  <c r="N6" i="6"/>
  <c r="N7" i="6"/>
  <c r="N11" i="6"/>
  <c r="N8" i="6"/>
  <c r="N18" i="6"/>
  <c r="N19" i="6"/>
  <c r="Y9" i="4"/>
  <c r="AH27" i="2"/>
  <c r="AH39" i="2"/>
  <c r="AH28" i="2"/>
  <c r="AH43" i="2"/>
  <c r="AH31" i="2"/>
  <c r="AH34" i="2"/>
  <c r="AH30" i="2"/>
  <c r="AH29" i="2"/>
  <c r="AH35" i="2"/>
  <c r="M10" i="2"/>
  <c r="M7" i="2"/>
  <c r="O6" i="2"/>
  <c r="O4" i="2"/>
  <c r="O5" i="2"/>
  <c r="O7" i="2"/>
  <c r="O8" i="2"/>
  <c r="O9" i="2"/>
  <c r="O10" i="2"/>
  <c r="O11" i="2"/>
  <c r="O3" i="2"/>
  <c r="M3" i="2"/>
  <c r="M4" i="2"/>
  <c r="M5" i="2"/>
  <c r="M8" i="2"/>
  <c r="M11" i="2"/>
  <c r="L32" i="1"/>
  <c r="K27" i="1"/>
  <c r="M32" i="1" s="1"/>
  <c r="K26" i="1"/>
  <c r="M27" i="1"/>
  <c r="O32" i="1" s="1"/>
  <c r="M26" i="1"/>
  <c r="L27" i="1"/>
  <c r="N32" i="1" s="1"/>
  <c r="L26" i="1"/>
  <c r="J27" i="1"/>
  <c r="J26" i="1"/>
  <c r="N51" i="6" l="1"/>
  <c r="N52" i="6"/>
  <c r="N45" i="6"/>
  <c r="N53" i="6"/>
  <c r="N46" i="6"/>
  <c r="N54" i="6"/>
  <c r="N47" i="6"/>
  <c r="N48" i="6"/>
  <c r="N49" i="6"/>
  <c r="N50" i="6"/>
  <c r="N64" i="6"/>
  <c r="N61" i="6"/>
  <c r="N58" i="6"/>
  <c r="N66" i="6"/>
  <c r="N63" i="6"/>
  <c r="N65" i="6"/>
  <c r="N62" i="6"/>
  <c r="N59" i="6"/>
  <c r="N67" i="6"/>
  <c r="N60" i="6"/>
  <c r="O27" i="6"/>
  <c r="O30" i="6"/>
  <c r="O28" i="6"/>
  <c r="O31" i="6"/>
  <c r="O29" i="6"/>
  <c r="O32" i="6"/>
  <c r="O38" i="6"/>
  <c r="O33" i="6"/>
  <c r="O26" i="6"/>
  <c r="O37" i="6"/>
  <c r="O36" i="6"/>
  <c r="O39" i="6"/>
  <c r="O35" i="6"/>
  <c r="O41" i="6"/>
  <c r="O40" i="6"/>
  <c r="O34" i="6"/>
  <c r="P25" i="6"/>
  <c r="O8" i="6"/>
  <c r="O9" i="6"/>
  <c r="O6" i="6"/>
  <c r="O16" i="6"/>
  <c r="O11" i="6"/>
  <c r="O14" i="6"/>
  <c r="O7" i="6"/>
  <c r="O17" i="6"/>
  <c r="O20" i="6"/>
  <c r="O10" i="6"/>
  <c r="O12" i="6"/>
  <c r="O18" i="6"/>
  <c r="O13" i="6"/>
  <c r="O21" i="6"/>
  <c r="O15" i="6"/>
  <c r="O19" i="6"/>
  <c r="Y10" i="4"/>
  <c r="M9" i="2"/>
  <c r="M6" i="2"/>
  <c r="J32" i="1"/>
  <c r="G32" i="1" s="1"/>
  <c r="H32" i="1" s="1"/>
  <c r="O50" i="6" l="1"/>
  <c r="O51" i="6"/>
  <c r="O52" i="6"/>
  <c r="O45" i="6"/>
  <c r="O53" i="6"/>
  <c r="O46" i="6"/>
  <c r="O54" i="6"/>
  <c r="O47" i="6"/>
  <c r="O48" i="6"/>
  <c r="O49" i="6"/>
  <c r="P29" i="6"/>
  <c r="P32" i="6"/>
  <c r="P41" i="6"/>
  <c r="P37" i="6"/>
  <c r="P36" i="6"/>
  <c r="P26" i="6"/>
  <c r="P35" i="6"/>
  <c r="P34" i="6"/>
  <c r="P40" i="6"/>
  <c r="P30" i="6"/>
  <c r="P38" i="6"/>
  <c r="P28" i="6"/>
  <c r="P31" i="6"/>
  <c r="P33" i="6"/>
  <c r="P27" i="6"/>
  <c r="P39" i="6"/>
  <c r="O59" i="6"/>
  <c r="O67" i="6"/>
  <c r="O64" i="6"/>
  <c r="O61" i="6"/>
  <c r="O58" i="6"/>
  <c r="O66" i="6"/>
  <c r="O60" i="6"/>
  <c r="O65" i="6"/>
  <c r="O62" i="6"/>
  <c r="O63" i="6"/>
  <c r="Q25" i="6"/>
  <c r="P7" i="6"/>
  <c r="P6" i="6"/>
  <c r="P13" i="6"/>
  <c r="P18" i="6"/>
  <c r="P15" i="6"/>
  <c r="P8" i="6"/>
  <c r="P17" i="6"/>
  <c r="P11" i="6"/>
  <c r="P14" i="6"/>
  <c r="P20" i="6"/>
  <c r="P21" i="6"/>
  <c r="P12" i="6"/>
  <c r="P9" i="6"/>
  <c r="P10" i="6"/>
  <c r="P19" i="6"/>
  <c r="P16" i="6"/>
  <c r="Y11" i="4"/>
  <c r="N34" i="1"/>
  <c r="N36" i="1" s="1"/>
  <c r="N38" i="1" s="1"/>
  <c r="O34" i="1"/>
  <c r="P49" i="6" l="1"/>
  <c r="P50" i="6"/>
  <c r="P51" i="6"/>
  <c r="P52" i="6"/>
  <c r="P45" i="6"/>
  <c r="P53" i="6"/>
  <c r="P46" i="6"/>
  <c r="P54" i="6"/>
  <c r="P47" i="6"/>
  <c r="P48" i="6"/>
  <c r="Q31" i="6"/>
  <c r="Q40" i="6"/>
  <c r="Q38" i="6"/>
  <c r="Q28" i="6"/>
  <c r="Q26" i="6"/>
  <c r="Q35" i="6"/>
  <c r="Q27" i="6"/>
  <c r="Q37" i="6"/>
  <c r="Q30" i="6"/>
  <c r="Q33" i="6"/>
  <c r="Q36" i="6"/>
  <c r="Q34" i="6"/>
  <c r="Q39" i="6"/>
  <c r="Q41" i="6"/>
  <c r="Q32" i="6"/>
  <c r="Q29" i="6"/>
  <c r="P62" i="6"/>
  <c r="P59" i="6"/>
  <c r="P67" i="6"/>
  <c r="P64" i="6"/>
  <c r="P61" i="6"/>
  <c r="P63" i="6"/>
  <c r="P60" i="6"/>
  <c r="P65" i="6"/>
  <c r="P58" i="6"/>
  <c r="P66" i="6"/>
  <c r="R25" i="6"/>
  <c r="Q10" i="6"/>
  <c r="Q19" i="6"/>
  <c r="Q18" i="6"/>
  <c r="Q8" i="6"/>
  <c r="Q11" i="6"/>
  <c r="Q15" i="6"/>
  <c r="Q17" i="6"/>
  <c r="Q16" i="6"/>
  <c r="Q13" i="6"/>
  <c r="Q6" i="6"/>
  <c r="Q21" i="6"/>
  <c r="Q12" i="6"/>
  <c r="Q20" i="6"/>
  <c r="Q7" i="6"/>
  <c r="Q9" i="6"/>
  <c r="Q14" i="6"/>
  <c r="Y12" i="4"/>
  <c r="O36" i="1"/>
  <c r="L34" i="1"/>
  <c r="M34" i="1" s="1"/>
  <c r="O38" i="1"/>
  <c r="L36" i="1"/>
  <c r="M36" i="1" s="1"/>
  <c r="Q48" i="6" l="1"/>
  <c r="Q49" i="6"/>
  <c r="Q50" i="6"/>
  <c r="Q51" i="6"/>
  <c r="Q52" i="6"/>
  <c r="Q45" i="6"/>
  <c r="Q53" i="6"/>
  <c r="Q46" i="6"/>
  <c r="Q54" i="6"/>
  <c r="Q47" i="6"/>
  <c r="Q65" i="6"/>
  <c r="Q62" i="6"/>
  <c r="Q59" i="6"/>
  <c r="Q67" i="6"/>
  <c r="Q64" i="6"/>
  <c r="Q58" i="6"/>
  <c r="Q66" i="6"/>
  <c r="Q63" i="6"/>
  <c r="Q60" i="6"/>
  <c r="Q61" i="6"/>
  <c r="R40" i="6"/>
  <c r="R27" i="6"/>
  <c r="R30" i="6"/>
  <c r="R33" i="6"/>
  <c r="R29" i="6"/>
  <c r="R32" i="6"/>
  <c r="R41" i="6"/>
  <c r="R28" i="6"/>
  <c r="R37" i="6"/>
  <c r="R31" i="6"/>
  <c r="R36" i="6"/>
  <c r="R26" i="6"/>
  <c r="R39" i="6"/>
  <c r="R34" i="6"/>
  <c r="R35" i="6"/>
  <c r="R38" i="6"/>
  <c r="S25" i="6"/>
  <c r="R9" i="6"/>
  <c r="R14" i="6"/>
  <c r="R10" i="6"/>
  <c r="R17" i="6"/>
  <c r="R15" i="6"/>
  <c r="R18" i="6"/>
  <c r="R7" i="6"/>
  <c r="R8" i="6"/>
  <c r="R21" i="6"/>
  <c r="R16" i="6"/>
  <c r="R13" i="6"/>
  <c r="R19" i="6"/>
  <c r="R20" i="6"/>
  <c r="R12" i="6"/>
  <c r="R11" i="6"/>
  <c r="R6" i="6"/>
  <c r="Y13" i="4"/>
  <c r="L38" i="1"/>
  <c r="M38" i="1" s="1"/>
  <c r="J40" i="1" s="1"/>
  <c r="R47" i="6" l="1"/>
  <c r="R48" i="6"/>
  <c r="R49" i="6"/>
  <c r="R50" i="6"/>
  <c r="R51" i="6"/>
  <c r="R52" i="6"/>
  <c r="R45" i="6"/>
  <c r="R53" i="6"/>
  <c r="R46" i="6"/>
  <c r="R54" i="6"/>
  <c r="S35" i="6"/>
  <c r="S33" i="6"/>
  <c r="S26" i="6"/>
  <c r="S32" i="6"/>
  <c r="S31" i="6"/>
  <c r="S27" i="6"/>
  <c r="S40" i="6"/>
  <c r="S39" i="6"/>
  <c r="S38" i="6"/>
  <c r="S37" i="6"/>
  <c r="S36" i="6"/>
  <c r="S41" i="6"/>
  <c r="S30" i="6"/>
  <c r="S28" i="6"/>
  <c r="S29" i="6"/>
  <c r="S34" i="6"/>
  <c r="R60" i="6"/>
  <c r="R65" i="6"/>
  <c r="R62" i="6"/>
  <c r="R59" i="6"/>
  <c r="R67" i="6"/>
  <c r="R61" i="6"/>
  <c r="R58" i="6"/>
  <c r="R66" i="6"/>
  <c r="R63" i="6"/>
  <c r="R64" i="6"/>
  <c r="T25" i="6"/>
  <c r="S10" i="6"/>
  <c r="S13" i="6"/>
  <c r="S7" i="6"/>
  <c r="S18" i="6"/>
  <c r="S17" i="6"/>
  <c r="S15" i="6"/>
  <c r="S21" i="6"/>
  <c r="S19" i="6"/>
  <c r="S9" i="6"/>
  <c r="S8" i="6"/>
  <c r="S6" i="6"/>
  <c r="S16" i="6"/>
  <c r="S14" i="6"/>
  <c r="S12" i="6"/>
  <c r="S20" i="6"/>
  <c r="S11" i="6"/>
  <c r="Y14" i="4"/>
  <c r="G40" i="1"/>
  <c r="H40" i="1" s="1"/>
  <c r="O42" i="1" s="1"/>
  <c r="S46" i="6" l="1"/>
  <c r="S54" i="6"/>
  <c r="S47" i="6"/>
  <c r="S48" i="6"/>
  <c r="S49" i="6"/>
  <c r="S50" i="6"/>
  <c r="S51" i="6"/>
  <c r="S52" i="6"/>
  <c r="S45" i="6"/>
  <c r="S53" i="6"/>
  <c r="S63" i="6"/>
  <c r="S60" i="6"/>
  <c r="S65" i="6"/>
  <c r="S62" i="6"/>
  <c r="S64" i="6"/>
  <c r="S61" i="6"/>
  <c r="S58" i="6"/>
  <c r="S66" i="6"/>
  <c r="S67" i="6"/>
  <c r="S59" i="6"/>
  <c r="T27" i="6"/>
  <c r="T28" i="6"/>
  <c r="T26" i="6"/>
  <c r="T31" i="6"/>
  <c r="T29" i="6"/>
  <c r="T35" i="6"/>
  <c r="T30" i="6"/>
  <c r="T40" i="6"/>
  <c r="T36" i="6"/>
  <c r="T32" i="6"/>
  <c r="T39" i="6"/>
  <c r="T37" i="6"/>
  <c r="T34" i="6"/>
  <c r="T38" i="6"/>
  <c r="T41" i="6"/>
  <c r="T33" i="6"/>
  <c r="U25" i="6"/>
  <c r="T11" i="6"/>
  <c r="T21" i="6"/>
  <c r="T16" i="6"/>
  <c r="T18" i="6"/>
  <c r="T12" i="6"/>
  <c r="T19" i="6"/>
  <c r="T14" i="6"/>
  <c r="T20" i="6"/>
  <c r="T7" i="6"/>
  <c r="T15" i="6"/>
  <c r="T17" i="6"/>
  <c r="T9" i="6"/>
  <c r="T6" i="6"/>
  <c r="T13" i="6"/>
  <c r="T10" i="6"/>
  <c r="T8" i="6"/>
  <c r="Y15" i="4"/>
  <c r="L42" i="1"/>
  <c r="M42" i="1" s="1"/>
  <c r="O44" i="1"/>
  <c r="T45" i="6" l="1"/>
  <c r="T53" i="6"/>
  <c r="T46" i="6"/>
  <c r="T54" i="6"/>
  <c r="T47" i="6"/>
  <c r="T48" i="6"/>
  <c r="T49" i="6"/>
  <c r="T50" i="6"/>
  <c r="T51" i="6"/>
  <c r="T52" i="6"/>
  <c r="U26" i="6"/>
  <c r="U29" i="6"/>
  <c r="U31" i="6"/>
  <c r="U41" i="6"/>
  <c r="U40" i="6"/>
  <c r="U39" i="6"/>
  <c r="U38" i="6"/>
  <c r="U27" i="6"/>
  <c r="U34" i="6"/>
  <c r="U33" i="6"/>
  <c r="U32" i="6"/>
  <c r="U30" i="6"/>
  <c r="U35" i="6"/>
  <c r="U37" i="6"/>
  <c r="U28" i="6"/>
  <c r="U36" i="6"/>
  <c r="T58" i="6"/>
  <c r="T66" i="6"/>
  <c r="T63" i="6"/>
  <c r="T60" i="6"/>
  <c r="T65" i="6"/>
  <c r="T59" i="6"/>
  <c r="T67" i="6"/>
  <c r="T64" i="6"/>
  <c r="T61" i="6"/>
  <c r="T62" i="6"/>
  <c r="V25" i="6"/>
  <c r="U13" i="6"/>
  <c r="U9" i="6"/>
  <c r="U6" i="6"/>
  <c r="U10" i="6"/>
  <c r="U15" i="6"/>
  <c r="U19" i="6"/>
  <c r="U8" i="6"/>
  <c r="U20" i="6"/>
  <c r="U16" i="6"/>
  <c r="U7" i="6"/>
  <c r="U17" i="6"/>
  <c r="U21" i="6"/>
  <c r="U14" i="6"/>
  <c r="U12" i="6"/>
  <c r="U11" i="6"/>
  <c r="U18" i="6"/>
  <c r="Y16" i="4"/>
  <c r="L44" i="1"/>
  <c r="M44" i="1" s="1"/>
  <c r="O46" i="1"/>
  <c r="U52" i="6" l="1"/>
  <c r="U45" i="6"/>
  <c r="U53" i="6"/>
  <c r="U46" i="6"/>
  <c r="U54" i="6"/>
  <c r="U47" i="6"/>
  <c r="U48" i="6"/>
  <c r="U49" i="6"/>
  <c r="U50" i="6"/>
  <c r="U51" i="6"/>
  <c r="V28" i="6"/>
  <c r="V31" i="6"/>
  <c r="V37" i="6"/>
  <c r="V34" i="6"/>
  <c r="V33" i="6"/>
  <c r="V32" i="6"/>
  <c r="V35" i="6"/>
  <c r="V27" i="6"/>
  <c r="V30" i="6"/>
  <c r="V41" i="6"/>
  <c r="V40" i="6"/>
  <c r="V39" i="6"/>
  <c r="V26" i="6"/>
  <c r="V38" i="6"/>
  <c r="V36" i="6"/>
  <c r="V29" i="6"/>
  <c r="U61" i="6"/>
  <c r="U58" i="6"/>
  <c r="U66" i="6"/>
  <c r="U63" i="6"/>
  <c r="U60" i="6"/>
  <c r="U62" i="6"/>
  <c r="U59" i="6"/>
  <c r="U67" i="6"/>
  <c r="U64" i="6"/>
  <c r="U65" i="6"/>
  <c r="W25" i="6"/>
  <c r="V12" i="6"/>
  <c r="V20" i="6"/>
  <c r="V14" i="6"/>
  <c r="V21" i="6"/>
  <c r="V9" i="6"/>
  <c r="V6" i="6"/>
  <c r="V18" i="6"/>
  <c r="V8" i="6"/>
  <c r="V16" i="6"/>
  <c r="V17" i="6"/>
  <c r="V11" i="6"/>
  <c r="V19" i="6"/>
  <c r="V15" i="6"/>
  <c r="V7" i="6"/>
  <c r="V13" i="6"/>
  <c r="V10" i="6"/>
  <c r="Y17" i="4"/>
  <c r="L46" i="1"/>
  <c r="M46" i="1" s="1"/>
  <c r="J48" i="1" s="1"/>
  <c r="G48" i="1" s="1"/>
  <c r="H48" i="1" s="1"/>
  <c r="O50" i="1" s="1"/>
  <c r="L50" i="1" s="1"/>
  <c r="M50" i="1" s="1"/>
  <c r="V51" i="6" l="1"/>
  <c r="V52" i="6"/>
  <c r="V45" i="6"/>
  <c r="V53" i="6"/>
  <c r="V46" i="6"/>
  <c r="V54" i="6"/>
  <c r="V47" i="6"/>
  <c r="V48" i="6"/>
  <c r="V49" i="6"/>
  <c r="V50" i="6"/>
  <c r="W39" i="6"/>
  <c r="W37" i="6"/>
  <c r="W26" i="6"/>
  <c r="W27" i="6"/>
  <c r="W30" i="6"/>
  <c r="W29" i="6"/>
  <c r="W32" i="6"/>
  <c r="W38" i="6"/>
  <c r="W31" i="6"/>
  <c r="W41" i="6"/>
  <c r="W28" i="6"/>
  <c r="W36" i="6"/>
  <c r="W35" i="6"/>
  <c r="W40" i="6"/>
  <c r="W33" i="6"/>
  <c r="W34" i="6"/>
  <c r="V64" i="6"/>
  <c r="V61" i="6"/>
  <c r="V58" i="6"/>
  <c r="V66" i="6"/>
  <c r="V63" i="6"/>
  <c r="V65" i="6"/>
  <c r="V62" i="6"/>
  <c r="V59" i="6"/>
  <c r="V67" i="6"/>
  <c r="V60" i="6"/>
  <c r="X25" i="6"/>
  <c r="W14" i="6"/>
  <c r="W17" i="6"/>
  <c r="W19" i="6"/>
  <c r="W21" i="6"/>
  <c r="W13" i="6"/>
  <c r="W11" i="6"/>
  <c r="W15" i="6"/>
  <c r="W10" i="6"/>
  <c r="W9" i="6"/>
  <c r="W18" i="6"/>
  <c r="W16" i="6"/>
  <c r="W8" i="6"/>
  <c r="W20" i="6"/>
  <c r="W12" i="6"/>
  <c r="W6" i="6"/>
  <c r="W7" i="6"/>
  <c r="Y18" i="4"/>
  <c r="O52" i="1"/>
  <c r="W50" i="6" l="1"/>
  <c r="W51" i="6"/>
  <c r="W52" i="6"/>
  <c r="W45" i="6"/>
  <c r="W53" i="6"/>
  <c r="W46" i="6"/>
  <c r="W54" i="6"/>
  <c r="W47" i="6"/>
  <c r="W48" i="6"/>
  <c r="W49" i="6"/>
  <c r="X28" i="6"/>
  <c r="X26" i="6"/>
  <c r="X29" i="6"/>
  <c r="X32" i="6"/>
  <c r="X41" i="6"/>
  <c r="X31" i="6"/>
  <c r="X37" i="6"/>
  <c r="X36" i="6"/>
  <c r="X35" i="6"/>
  <c r="X34" i="6"/>
  <c r="X33" i="6"/>
  <c r="X38" i="6"/>
  <c r="X39" i="6"/>
  <c r="X30" i="6"/>
  <c r="X40" i="6"/>
  <c r="X27" i="6"/>
  <c r="W59" i="6"/>
  <c r="W67" i="6"/>
  <c r="W64" i="6"/>
  <c r="W61" i="6"/>
  <c r="W58" i="6"/>
  <c r="W66" i="6"/>
  <c r="W60" i="6"/>
  <c r="W65" i="6"/>
  <c r="W62" i="6"/>
  <c r="W63" i="6"/>
  <c r="Y25" i="6"/>
  <c r="X19" i="6"/>
  <c r="X16" i="6"/>
  <c r="X17" i="6"/>
  <c r="X8" i="6"/>
  <c r="X13" i="6"/>
  <c r="X18" i="6"/>
  <c r="X11" i="6"/>
  <c r="X7" i="6"/>
  <c r="X15" i="6"/>
  <c r="X9" i="6"/>
  <c r="X14" i="6"/>
  <c r="X21" i="6"/>
  <c r="X12" i="6"/>
  <c r="X10" i="6"/>
  <c r="X6" i="6"/>
  <c r="X20" i="6"/>
  <c r="Y19" i="4"/>
  <c r="L52" i="1"/>
  <c r="M52" i="1" s="1"/>
  <c r="O54" i="1"/>
  <c r="L54" i="1" s="1"/>
  <c r="M54" i="1" s="1"/>
  <c r="J56" i="1" s="1"/>
  <c r="G56" i="1" s="1"/>
  <c r="H56" i="1" s="1"/>
  <c r="O58" i="1" s="1"/>
  <c r="L58" i="1" s="1"/>
  <c r="M58" i="1" s="1"/>
  <c r="X49" i="6" l="1"/>
  <c r="X50" i="6"/>
  <c r="X51" i="6"/>
  <c r="X52" i="6"/>
  <c r="X45" i="6"/>
  <c r="X53" i="6"/>
  <c r="X46" i="6"/>
  <c r="X54" i="6"/>
  <c r="X47" i="6"/>
  <c r="X48" i="6"/>
  <c r="Y41" i="6"/>
  <c r="Y30" i="6"/>
  <c r="Y31" i="6"/>
  <c r="Y40" i="6"/>
  <c r="Y28" i="6"/>
  <c r="Y26" i="6"/>
  <c r="Y27" i="6"/>
  <c r="Y32" i="6"/>
  <c r="Y35" i="6"/>
  <c r="Y39" i="6"/>
  <c r="Y38" i="6"/>
  <c r="Y33" i="6"/>
  <c r="Y29" i="6"/>
  <c r="Y34" i="6"/>
  <c r="Y37" i="6"/>
  <c r="Y36" i="6"/>
  <c r="X62" i="6"/>
  <c r="X59" i="6"/>
  <c r="X67" i="6"/>
  <c r="X64" i="6"/>
  <c r="X61" i="6"/>
  <c r="X63" i="6"/>
  <c r="X60" i="6"/>
  <c r="X65" i="6"/>
  <c r="X58" i="6"/>
  <c r="X66" i="6"/>
  <c r="Z25" i="6"/>
  <c r="Y16" i="6"/>
  <c r="Y14" i="6"/>
  <c r="Y6" i="6"/>
  <c r="Y17" i="6"/>
  <c r="Y19" i="6"/>
  <c r="Y15" i="6"/>
  <c r="Y21" i="6"/>
  <c r="Y18" i="6"/>
  <c r="Y7" i="6"/>
  <c r="Y11" i="6"/>
  <c r="Y12" i="6"/>
  <c r="Y9" i="6"/>
  <c r="Y13" i="6"/>
  <c r="Y10" i="6"/>
  <c r="Y8" i="6"/>
  <c r="Y20" i="6"/>
  <c r="Y20" i="4"/>
  <c r="M4" i="3"/>
  <c r="Y48" i="6" l="1"/>
  <c r="Y49" i="6"/>
  <c r="Y50" i="6"/>
  <c r="Y51" i="6"/>
  <c r="Y52" i="6"/>
  <c r="Y45" i="6"/>
  <c r="Y53" i="6"/>
  <c r="Y46" i="6"/>
  <c r="Y54" i="6"/>
  <c r="Y47" i="6"/>
  <c r="Z26" i="6"/>
  <c r="Z39" i="6"/>
  <c r="Z38" i="6"/>
  <c r="Z37" i="6"/>
  <c r="Z36" i="6"/>
  <c r="Z35" i="6"/>
  <c r="Z41" i="6"/>
  <c r="Z27" i="6"/>
  <c r="Z40" i="6"/>
  <c r="Z34" i="6"/>
  <c r="Z30" i="6"/>
  <c r="Z32" i="6"/>
  <c r="Z28" i="6"/>
  <c r="Z31" i="6"/>
  <c r="Z33" i="6"/>
  <c r="Z29" i="6"/>
  <c r="Y65" i="6"/>
  <c r="Y62" i="6"/>
  <c r="Y59" i="6"/>
  <c r="Y67" i="6"/>
  <c r="Y64" i="6"/>
  <c r="Y58" i="6"/>
  <c r="Y66" i="6"/>
  <c r="Y63" i="6"/>
  <c r="Y60" i="6"/>
  <c r="Y61" i="6"/>
  <c r="AA25" i="6"/>
  <c r="Z9" i="6"/>
  <c r="Z19" i="6"/>
  <c r="Z21" i="6"/>
  <c r="Z17" i="6"/>
  <c r="Z20" i="6"/>
  <c r="Z6" i="6"/>
  <c r="Z10" i="6"/>
  <c r="Z18" i="6"/>
  <c r="Z15" i="6"/>
  <c r="Z16" i="6"/>
  <c r="Z13" i="6"/>
  <c r="Z12" i="6"/>
  <c r="Z8" i="6"/>
  <c r="Z7" i="6"/>
  <c r="Z11" i="6"/>
  <c r="Z14" i="6"/>
  <c r="Y21" i="4"/>
  <c r="Z47" i="6" l="1"/>
  <c r="Z48" i="6"/>
  <c r="Z49" i="6"/>
  <c r="Z50" i="6"/>
  <c r="Z51" i="6"/>
  <c r="Z52" i="6"/>
  <c r="Z45" i="6"/>
  <c r="Z53" i="6"/>
  <c r="Z46" i="6"/>
  <c r="Z54" i="6"/>
  <c r="Z60" i="6"/>
  <c r="Z65" i="6"/>
  <c r="Z62" i="6"/>
  <c r="Z59" i="6"/>
  <c r="Z67" i="6"/>
  <c r="Z61" i="6"/>
  <c r="Z58" i="6"/>
  <c r="Z66" i="6"/>
  <c r="Z63" i="6"/>
  <c r="Z64" i="6"/>
  <c r="AB25" i="6"/>
  <c r="AA40" i="6"/>
  <c r="AA33" i="6"/>
  <c r="AA27" i="6"/>
  <c r="AA32" i="6"/>
  <c r="AA41" i="6"/>
  <c r="AA29" i="6"/>
  <c r="AA35" i="6"/>
  <c r="AA36" i="6"/>
  <c r="AA34" i="6"/>
  <c r="AA28" i="6"/>
  <c r="AA31" i="6"/>
  <c r="AA26" i="6"/>
  <c r="AA39" i="6"/>
  <c r="AA37" i="6"/>
  <c r="AA38" i="6"/>
  <c r="AA30" i="6"/>
  <c r="AA21" i="6"/>
  <c r="AA20" i="6"/>
  <c r="AA7" i="6"/>
  <c r="AA12" i="6"/>
  <c r="AA11" i="6"/>
  <c r="AA13" i="6"/>
  <c r="AA15" i="6"/>
  <c r="AA16" i="6"/>
  <c r="AA19" i="6"/>
  <c r="AA10" i="6"/>
  <c r="AA6" i="6"/>
  <c r="AA9" i="6"/>
  <c r="AA8" i="6"/>
  <c r="AA14" i="6"/>
  <c r="AA18" i="6"/>
  <c r="AA17" i="6"/>
  <c r="Y22" i="4"/>
  <c r="AA46" i="6" l="1"/>
  <c r="AA54" i="6"/>
  <c r="AA47" i="6"/>
  <c r="AA48" i="6"/>
  <c r="AA49" i="6"/>
  <c r="AA50" i="6"/>
  <c r="AA51" i="6"/>
  <c r="AA52" i="6"/>
  <c r="AA45" i="6"/>
  <c r="AA53" i="6"/>
  <c r="AA63" i="6"/>
  <c r="AA60" i="6"/>
  <c r="AA65" i="6"/>
  <c r="AA62" i="6"/>
  <c r="AA64" i="6"/>
  <c r="AA61" i="6"/>
  <c r="AA58" i="6"/>
  <c r="AA66" i="6"/>
  <c r="AA67" i="6"/>
  <c r="AA59" i="6"/>
  <c r="AC25" i="6"/>
  <c r="AB39" i="6"/>
  <c r="AB41" i="6"/>
  <c r="AB31" i="6"/>
  <c r="AB40" i="6"/>
  <c r="AB32" i="6"/>
  <c r="AB29" i="6"/>
  <c r="AB27" i="6"/>
  <c r="AB34" i="6"/>
  <c r="AB37" i="6"/>
  <c r="AB35" i="6"/>
  <c r="AB33" i="6"/>
  <c r="AB30" i="6"/>
  <c r="AB26" i="6"/>
  <c r="AB38" i="6"/>
  <c r="AB36" i="6"/>
  <c r="AB28" i="6"/>
  <c r="AB18" i="6"/>
  <c r="AB13" i="6"/>
  <c r="AB12" i="6"/>
  <c r="AB9" i="6"/>
  <c r="AB14" i="6"/>
  <c r="AB6" i="6"/>
  <c r="AB7" i="6"/>
  <c r="AB21" i="6"/>
  <c r="AB19" i="6"/>
  <c r="AB15" i="6"/>
  <c r="AB17" i="6"/>
  <c r="AB16" i="6"/>
  <c r="AB20" i="6"/>
  <c r="AB11" i="6"/>
  <c r="AB8" i="6"/>
  <c r="AB10" i="6"/>
  <c r="Y23" i="4"/>
  <c r="AB45" i="6" l="1"/>
  <c r="AB53" i="6"/>
  <c r="AB46" i="6"/>
  <c r="AB54" i="6"/>
  <c r="AB47" i="6"/>
  <c r="AB48" i="6"/>
  <c r="AB49" i="6"/>
  <c r="AB50" i="6"/>
  <c r="AB51" i="6"/>
  <c r="AB52" i="6"/>
  <c r="AB58" i="6"/>
  <c r="AB66" i="6"/>
  <c r="AB63" i="6"/>
  <c r="AB60" i="6"/>
  <c r="AB65" i="6"/>
  <c r="AB59" i="6"/>
  <c r="AB67" i="6"/>
  <c r="AB64" i="6"/>
  <c r="AB61" i="6"/>
  <c r="AB62" i="6"/>
  <c r="AD25" i="6"/>
  <c r="AC31" i="6"/>
  <c r="AC40" i="6"/>
  <c r="AC39" i="6"/>
  <c r="AC27" i="6"/>
  <c r="AC33" i="6"/>
  <c r="AC29" i="6"/>
  <c r="AC38" i="6"/>
  <c r="AC28" i="6"/>
  <c r="AC35" i="6"/>
  <c r="AC41" i="6"/>
  <c r="AC30" i="6"/>
  <c r="AC36" i="6"/>
  <c r="AC34" i="6"/>
  <c r="AC32" i="6"/>
  <c r="AC26" i="6"/>
  <c r="AC37" i="6"/>
  <c r="AC20" i="6"/>
  <c r="AC6" i="6"/>
  <c r="AC13" i="6"/>
  <c r="AC9" i="6"/>
  <c r="AC19" i="6"/>
  <c r="AC8" i="6"/>
  <c r="AC12" i="6"/>
  <c r="AC10" i="6"/>
  <c r="AC18" i="6"/>
  <c r="AC15" i="6"/>
  <c r="AC7" i="6"/>
  <c r="AC11" i="6"/>
  <c r="AC21" i="6"/>
  <c r="AC14" i="6"/>
  <c r="AC16" i="6"/>
  <c r="AC17" i="6"/>
  <c r="Y24" i="4"/>
  <c r="AC52" i="6" l="1"/>
  <c r="AC45" i="6"/>
  <c r="AC53" i="6"/>
  <c r="AC46" i="6"/>
  <c r="AC54" i="6"/>
  <c r="AC47" i="6"/>
  <c r="AC48" i="6"/>
  <c r="AC49" i="6"/>
  <c r="AC50" i="6"/>
  <c r="AC51" i="6"/>
  <c r="AC61" i="6"/>
  <c r="AC58" i="6"/>
  <c r="AC66" i="6"/>
  <c r="AC63" i="6"/>
  <c r="AC60" i="6"/>
  <c r="AC62" i="6"/>
  <c r="AC59" i="6"/>
  <c r="AC67" i="6"/>
  <c r="AC64" i="6"/>
  <c r="AC65" i="6"/>
  <c r="AE25" i="6"/>
  <c r="AD29" i="6"/>
  <c r="AD38" i="6"/>
  <c r="AD39" i="6"/>
  <c r="AD27" i="6"/>
  <c r="AD26" i="6"/>
  <c r="AD32" i="6"/>
  <c r="AD37" i="6"/>
  <c r="AD28" i="6"/>
  <c r="AD36" i="6"/>
  <c r="AD41" i="6"/>
  <c r="AD31" i="6"/>
  <c r="AD40" i="6"/>
  <c r="AD30" i="6"/>
  <c r="AD34" i="6"/>
  <c r="AD33" i="6"/>
  <c r="AD35" i="6"/>
  <c r="AD8" i="6"/>
  <c r="AD21" i="6"/>
  <c r="AD20" i="6"/>
  <c r="AD19" i="6"/>
  <c r="AD7" i="6"/>
  <c r="AD11" i="6"/>
  <c r="AD10" i="6"/>
  <c r="AD9" i="6"/>
  <c r="AD16" i="6"/>
  <c r="AD18" i="6"/>
  <c r="AD17" i="6"/>
  <c r="AD6" i="6"/>
  <c r="AD12" i="6"/>
  <c r="AD15" i="6"/>
  <c r="AD14" i="6"/>
  <c r="AD13" i="6"/>
  <c r="Y25" i="4"/>
  <c r="AD51" i="6" l="1"/>
  <c r="AD52" i="6"/>
  <c r="AD45" i="6"/>
  <c r="AD53" i="6"/>
  <c r="AD46" i="6"/>
  <c r="AD54" i="6"/>
  <c r="AD47" i="6"/>
  <c r="AD48" i="6"/>
  <c r="AD49" i="6"/>
  <c r="AD50" i="6"/>
  <c r="AD64" i="6"/>
  <c r="AD61" i="6"/>
  <c r="AD58" i="6"/>
  <c r="AD66" i="6"/>
  <c r="AD63" i="6"/>
  <c r="AD65" i="6"/>
  <c r="AD62" i="6"/>
  <c r="AD59" i="6"/>
  <c r="AD67" i="6"/>
  <c r="AD60" i="6"/>
  <c r="AF25" i="6"/>
  <c r="AE37" i="6"/>
  <c r="AE26" i="6"/>
  <c r="AE36" i="6"/>
  <c r="AE28" i="6"/>
  <c r="AE31" i="6"/>
  <c r="AE41" i="6"/>
  <c r="AE30" i="6"/>
  <c r="AE32" i="6"/>
  <c r="AE38" i="6"/>
  <c r="AE35" i="6"/>
  <c r="AE29" i="6"/>
  <c r="AE33" i="6"/>
  <c r="AE39" i="6"/>
  <c r="AE27" i="6"/>
  <c r="AE34" i="6"/>
  <c r="AE40" i="6"/>
  <c r="AE7" i="6"/>
  <c r="AE12" i="6"/>
  <c r="AE11" i="6"/>
  <c r="AE15" i="6"/>
  <c r="AE16" i="6"/>
  <c r="AE8" i="6"/>
  <c r="AE17" i="6"/>
  <c r="AE9" i="6"/>
  <c r="AE6" i="6"/>
  <c r="AE14" i="6"/>
  <c r="AE20" i="6"/>
  <c r="AE19" i="6"/>
  <c r="AE21" i="6"/>
  <c r="AE10" i="6"/>
  <c r="AE13" i="6"/>
  <c r="AE18" i="6"/>
  <c r="Y26" i="4"/>
  <c r="AE50" i="6" l="1"/>
  <c r="AE51" i="6"/>
  <c r="AE52" i="6"/>
  <c r="AE45" i="6"/>
  <c r="AE53" i="6"/>
  <c r="AE46" i="6"/>
  <c r="AE54" i="6"/>
  <c r="AE47" i="6"/>
  <c r="AE48" i="6"/>
  <c r="AE49" i="6"/>
  <c r="AE59" i="6"/>
  <c r="AE67" i="6"/>
  <c r="AE64" i="6"/>
  <c r="AE61" i="6"/>
  <c r="AE58" i="6"/>
  <c r="AE66" i="6"/>
  <c r="AE60" i="6"/>
  <c r="AE65" i="6"/>
  <c r="AE62" i="6"/>
  <c r="AE63" i="6"/>
  <c r="AG25" i="6"/>
  <c r="AF26" i="6"/>
  <c r="AF29" i="6"/>
  <c r="AF28" i="6"/>
  <c r="AF36" i="6"/>
  <c r="AF40" i="6"/>
  <c r="AF41" i="6"/>
  <c r="AF38" i="6"/>
  <c r="AF32" i="6"/>
  <c r="AF33" i="6"/>
  <c r="AF37" i="6"/>
  <c r="AF39" i="6"/>
  <c r="AF31" i="6"/>
  <c r="AF27" i="6"/>
  <c r="AF34" i="6"/>
  <c r="AF30" i="6"/>
  <c r="AF35" i="6"/>
  <c r="AF7" i="6"/>
  <c r="AF17" i="6"/>
  <c r="AF14" i="6"/>
  <c r="AF11" i="6"/>
  <c r="AF15" i="6"/>
  <c r="AF9" i="6"/>
  <c r="AF18" i="6"/>
  <c r="AF13" i="6"/>
  <c r="AF20" i="6"/>
  <c r="AF6" i="6"/>
  <c r="AF16" i="6"/>
  <c r="AF19" i="6"/>
  <c r="AF10" i="6"/>
  <c r="AF12" i="6"/>
  <c r="AF8" i="6"/>
  <c r="AF21" i="6"/>
  <c r="Y27" i="4"/>
  <c r="AF49" i="6" l="1"/>
  <c r="AF50" i="6"/>
  <c r="AF51" i="6"/>
  <c r="AF52" i="6"/>
  <c r="AF45" i="6"/>
  <c r="AF53" i="6"/>
  <c r="AF46" i="6"/>
  <c r="AF54" i="6"/>
  <c r="AF47" i="6"/>
  <c r="AF48" i="6"/>
  <c r="AF62" i="6"/>
  <c r="AF59" i="6"/>
  <c r="AF67" i="6"/>
  <c r="AF64" i="6"/>
  <c r="AF61" i="6"/>
  <c r="AF63" i="6"/>
  <c r="AF60" i="6"/>
  <c r="AF65" i="6"/>
  <c r="AF66" i="6"/>
  <c r="AF58" i="6"/>
  <c r="AH25" i="6"/>
  <c r="AG41" i="6"/>
  <c r="AG34" i="6"/>
  <c r="AG39" i="6"/>
  <c r="AG40" i="6"/>
  <c r="AG29" i="6"/>
  <c r="AG30" i="6"/>
  <c r="AG28" i="6"/>
  <c r="AG31" i="6"/>
  <c r="AG35" i="6"/>
  <c r="AG33" i="6"/>
  <c r="AG27" i="6"/>
  <c r="AG37" i="6"/>
  <c r="AG32" i="6"/>
  <c r="AG38" i="6"/>
  <c r="AG36" i="6"/>
  <c r="AG26" i="6"/>
  <c r="AG10" i="6"/>
  <c r="AG13" i="6"/>
  <c r="AG18" i="6"/>
  <c r="AG17" i="6"/>
  <c r="AG15" i="6"/>
  <c r="AG11" i="6"/>
  <c r="AG21" i="6"/>
  <c r="AG6" i="6"/>
  <c r="AG8" i="6"/>
  <c r="AG19" i="6"/>
  <c r="AG16" i="6"/>
  <c r="AG9" i="6"/>
  <c r="AG20" i="6"/>
  <c r="AG12" i="6"/>
  <c r="AG7" i="6"/>
  <c r="AG14" i="6"/>
  <c r="Y28" i="4"/>
  <c r="AG48" i="6" l="1"/>
  <c r="AG49" i="6"/>
  <c r="AG50" i="6"/>
  <c r="AG51" i="6"/>
  <c r="AG52" i="6"/>
  <c r="AG45" i="6"/>
  <c r="AG53" i="6"/>
  <c r="AG46" i="6"/>
  <c r="AG54" i="6"/>
  <c r="AG47" i="6"/>
  <c r="AG64" i="6"/>
  <c r="AG61" i="6"/>
  <c r="AG58" i="6"/>
  <c r="AG66" i="6"/>
  <c r="AG63" i="6"/>
  <c r="AG65" i="6"/>
  <c r="AG62" i="6"/>
  <c r="AG59" i="6"/>
  <c r="AG67" i="6"/>
  <c r="AG60" i="6"/>
  <c r="AI25" i="6"/>
  <c r="AH41" i="6"/>
  <c r="AH34" i="6"/>
  <c r="AH39" i="6"/>
  <c r="AH26" i="6"/>
  <c r="AH40" i="6"/>
  <c r="AH32" i="6"/>
  <c r="AH27" i="6"/>
  <c r="AH30" i="6"/>
  <c r="AH33" i="6"/>
  <c r="AH38" i="6"/>
  <c r="AH36" i="6"/>
  <c r="AH29" i="6"/>
  <c r="AH28" i="6"/>
  <c r="AH31" i="6"/>
  <c r="AH37" i="6"/>
  <c r="AH35" i="6"/>
  <c r="AH7" i="6"/>
  <c r="AH21" i="6"/>
  <c r="AH11" i="6"/>
  <c r="AH14" i="6"/>
  <c r="AH13" i="6"/>
  <c r="AH19" i="6"/>
  <c r="AH20" i="6"/>
  <c r="AH15" i="6"/>
  <c r="AH8" i="6"/>
  <c r="AH10" i="6"/>
  <c r="AH12" i="6"/>
  <c r="AH6" i="6"/>
  <c r="AH9" i="6"/>
  <c r="AH16" i="6"/>
  <c r="AH18" i="6"/>
  <c r="AH17" i="6"/>
  <c r="Y29" i="4"/>
  <c r="AH47" i="6" l="1"/>
  <c r="AH48" i="6"/>
  <c r="AH49" i="6"/>
  <c r="AH50" i="6"/>
  <c r="AH51" i="6"/>
  <c r="AH52" i="6"/>
  <c r="AH45" i="6"/>
  <c r="AH53" i="6"/>
  <c r="AH46" i="6"/>
  <c r="AH54" i="6"/>
  <c r="AH59" i="6"/>
  <c r="AH67" i="6"/>
  <c r="AH64" i="6"/>
  <c r="AH61" i="6"/>
  <c r="AH58" i="6"/>
  <c r="AH66" i="6"/>
  <c r="AH60" i="6"/>
  <c r="AH65" i="6"/>
  <c r="AH62" i="6"/>
  <c r="AH63" i="6"/>
  <c r="AJ25" i="6"/>
  <c r="AI40" i="6"/>
  <c r="AI41" i="6"/>
  <c r="AI39" i="6"/>
  <c r="AI32" i="6"/>
  <c r="AI29" i="6"/>
  <c r="AI38" i="6"/>
  <c r="AI36" i="6"/>
  <c r="AI34" i="6"/>
  <c r="AI26" i="6"/>
  <c r="AI28" i="6"/>
  <c r="AI31" i="6"/>
  <c r="AI27" i="6"/>
  <c r="AI33" i="6"/>
  <c r="AI35" i="6"/>
  <c r="AI37" i="6"/>
  <c r="AI30" i="6"/>
  <c r="AI14" i="6"/>
  <c r="AI7" i="6"/>
  <c r="AI20" i="6"/>
  <c r="AI18" i="6"/>
  <c r="AI12" i="6"/>
  <c r="AI13" i="6"/>
  <c r="AI17" i="6"/>
  <c r="AI10" i="6"/>
  <c r="AI19" i="6"/>
  <c r="AI9" i="6"/>
  <c r="AI15" i="6"/>
  <c r="AI11" i="6"/>
  <c r="AI16" i="6"/>
  <c r="AI8" i="6"/>
  <c r="AI21" i="6"/>
  <c r="AI6" i="6"/>
  <c r="Y30" i="4"/>
  <c r="AI46" i="6" l="1"/>
  <c r="AI54" i="6"/>
  <c r="AI47" i="6"/>
  <c r="AI48" i="6"/>
  <c r="AI49" i="6"/>
  <c r="AI50" i="6"/>
  <c r="AI51" i="6"/>
  <c r="AI52" i="6"/>
  <c r="AI45" i="6"/>
  <c r="AI53" i="6"/>
  <c r="AI62" i="6"/>
  <c r="AI59" i="6"/>
  <c r="AI67" i="6"/>
  <c r="AI64" i="6"/>
  <c r="AI61" i="6"/>
  <c r="AI63" i="6"/>
  <c r="AI60" i="6"/>
  <c r="AI65" i="6"/>
  <c r="AI66" i="6"/>
  <c r="AI58" i="6"/>
  <c r="AK25" i="6"/>
  <c r="AJ32" i="6"/>
  <c r="AJ39" i="6"/>
  <c r="AJ41" i="6"/>
  <c r="AJ40" i="6"/>
  <c r="AJ26" i="6"/>
  <c r="AJ28" i="6"/>
  <c r="AJ34" i="6"/>
  <c r="AJ31" i="6"/>
  <c r="AJ29" i="6"/>
  <c r="AJ37" i="6"/>
  <c r="AJ35" i="6"/>
  <c r="AJ33" i="6"/>
  <c r="AJ27" i="6"/>
  <c r="AJ30" i="6"/>
  <c r="AJ38" i="6"/>
  <c r="AJ36" i="6"/>
  <c r="AJ11" i="6"/>
  <c r="AJ16" i="6"/>
  <c r="AJ17" i="6"/>
  <c r="AJ9" i="6"/>
  <c r="AJ18" i="6"/>
  <c r="AJ6" i="6"/>
  <c r="AJ13" i="6"/>
  <c r="AJ21" i="6"/>
  <c r="AJ19" i="6"/>
  <c r="AJ7" i="6"/>
  <c r="AJ15" i="6"/>
  <c r="AJ8" i="6"/>
  <c r="AJ20" i="6"/>
  <c r="AJ14" i="6"/>
  <c r="AJ10" i="6"/>
  <c r="AJ12" i="6"/>
  <c r="Y31" i="4"/>
  <c r="AJ45" i="6" l="1"/>
  <c r="AJ53" i="6"/>
  <c r="AJ46" i="6"/>
  <c r="AJ54" i="6"/>
  <c r="AJ47" i="6"/>
  <c r="AJ48" i="6"/>
  <c r="AJ49" i="6"/>
  <c r="AJ50" i="6"/>
  <c r="AJ51" i="6"/>
  <c r="AJ52" i="6"/>
  <c r="AJ65" i="6"/>
  <c r="AJ62" i="6"/>
  <c r="AJ59" i="6"/>
  <c r="AJ67" i="6"/>
  <c r="AJ64" i="6"/>
  <c r="AJ58" i="6"/>
  <c r="AJ66" i="6"/>
  <c r="AJ63" i="6"/>
  <c r="AJ60" i="6"/>
  <c r="AJ61" i="6"/>
  <c r="AL25" i="6"/>
  <c r="AK40" i="6"/>
  <c r="AK30" i="6"/>
  <c r="AK28" i="6"/>
  <c r="AK27" i="6"/>
  <c r="AK33" i="6"/>
  <c r="AK39" i="6"/>
  <c r="AK26" i="6"/>
  <c r="AK35" i="6"/>
  <c r="AK38" i="6"/>
  <c r="AK29" i="6"/>
  <c r="AK36" i="6"/>
  <c r="AK34" i="6"/>
  <c r="AK32" i="6"/>
  <c r="AK31" i="6"/>
  <c r="AK37" i="6"/>
  <c r="AK41" i="6"/>
  <c r="AK14" i="6"/>
  <c r="AK19" i="6"/>
  <c r="AK15" i="6"/>
  <c r="AK11" i="6"/>
  <c r="AK18" i="6"/>
  <c r="AK9" i="6"/>
  <c r="AK6" i="6"/>
  <c r="AK12" i="6"/>
  <c r="AK21" i="6"/>
  <c r="AK8" i="6"/>
  <c r="AK10" i="6"/>
  <c r="AK7" i="6"/>
  <c r="AK17" i="6"/>
  <c r="AK16" i="6"/>
  <c r="AK20" i="6"/>
  <c r="AK13" i="6"/>
  <c r="Y32" i="4"/>
  <c r="AK52" i="6" l="1"/>
  <c r="AK45" i="6"/>
  <c r="AK53" i="6"/>
  <c r="AK46" i="6"/>
  <c r="AK54" i="6"/>
  <c r="AK47" i="6"/>
  <c r="AK48" i="6"/>
  <c r="AK49" i="6"/>
  <c r="AK50" i="6"/>
  <c r="AK51" i="6"/>
  <c r="AK60" i="6"/>
  <c r="AK65" i="6"/>
  <c r="AK62" i="6"/>
  <c r="AK59" i="6"/>
  <c r="AK67" i="6"/>
  <c r="AK61" i="6"/>
  <c r="AK58" i="6"/>
  <c r="AK66" i="6"/>
  <c r="AK63" i="6"/>
  <c r="AK64" i="6"/>
  <c r="AM25" i="6"/>
  <c r="AL30" i="6"/>
  <c r="AL37" i="6"/>
  <c r="AL39" i="6"/>
  <c r="AL27" i="6"/>
  <c r="AL26" i="6"/>
  <c r="AL32" i="6"/>
  <c r="AL28" i="6"/>
  <c r="AL38" i="6"/>
  <c r="AL41" i="6"/>
  <c r="AL29" i="6"/>
  <c r="AL36" i="6"/>
  <c r="AL35" i="6"/>
  <c r="AL34" i="6"/>
  <c r="AL33" i="6"/>
  <c r="AL31" i="6"/>
  <c r="AL40" i="6"/>
  <c r="AL12" i="6"/>
  <c r="AL15" i="6"/>
  <c r="AL10" i="6"/>
  <c r="AL13" i="6"/>
  <c r="AL20" i="6"/>
  <c r="AL19" i="6"/>
  <c r="AL21" i="6"/>
  <c r="AL14" i="6"/>
  <c r="AL11" i="6"/>
  <c r="AL16" i="6"/>
  <c r="AL9" i="6"/>
  <c r="AL18" i="6"/>
  <c r="AL6" i="6"/>
  <c r="AL17" i="6"/>
  <c r="AL8" i="6"/>
  <c r="AL7" i="6"/>
  <c r="Y33" i="4"/>
  <c r="AL51" i="6" l="1"/>
  <c r="AL52" i="6"/>
  <c r="AL45" i="6"/>
  <c r="AL53" i="6"/>
  <c r="AL46" i="6"/>
  <c r="AL54" i="6"/>
  <c r="AL47" i="6"/>
  <c r="AL48" i="6"/>
  <c r="AL49" i="6"/>
  <c r="AL50" i="6"/>
  <c r="AL63" i="6"/>
  <c r="AL60" i="6"/>
  <c r="AL65" i="6"/>
  <c r="AL62" i="6"/>
  <c r="AL64" i="6"/>
  <c r="AL61" i="6"/>
  <c r="AL58" i="6"/>
  <c r="AL66" i="6"/>
  <c r="AL67" i="6"/>
  <c r="AL59" i="6"/>
  <c r="AN25" i="6"/>
  <c r="AM36" i="6"/>
  <c r="AM32" i="6"/>
  <c r="AM26" i="6"/>
  <c r="AM27" i="6"/>
  <c r="AM31" i="6"/>
  <c r="AM34" i="6"/>
  <c r="AM30" i="6"/>
  <c r="AM29" i="6"/>
  <c r="AM28" i="6"/>
  <c r="AM40" i="6"/>
  <c r="AM41" i="6"/>
  <c r="AM38" i="6"/>
  <c r="AM37" i="6"/>
  <c r="AM35" i="6"/>
  <c r="AM39" i="6"/>
  <c r="AM33" i="6"/>
  <c r="AM17" i="6"/>
  <c r="AM13" i="6"/>
  <c r="AM18" i="6"/>
  <c r="AM12" i="6"/>
  <c r="AM21" i="6"/>
  <c r="AM6" i="6"/>
  <c r="AM14" i="6"/>
  <c r="AM20" i="6"/>
  <c r="AM9" i="6"/>
  <c r="AM15" i="6"/>
  <c r="AM16" i="6"/>
  <c r="AM10" i="6"/>
  <c r="AM19" i="6"/>
  <c r="AM8" i="6"/>
  <c r="AM11" i="6"/>
  <c r="AM7" i="6"/>
  <c r="Y34" i="4"/>
  <c r="AM50" i="6" l="1"/>
  <c r="AM51" i="6"/>
  <c r="AM52" i="6"/>
  <c r="AM45" i="6"/>
  <c r="AM53" i="6"/>
  <c r="AM46" i="6"/>
  <c r="AM54" i="6"/>
  <c r="AM47" i="6"/>
  <c r="AM48" i="6"/>
  <c r="AM49" i="6"/>
  <c r="AM58" i="6"/>
  <c r="AM66" i="6"/>
  <c r="AM63" i="6"/>
  <c r="AM60" i="6"/>
  <c r="AM65" i="6"/>
  <c r="AM59" i="6"/>
  <c r="AM67" i="6"/>
  <c r="AM64" i="6"/>
  <c r="AM61" i="6"/>
  <c r="AM62" i="6"/>
  <c r="AO25" i="6"/>
  <c r="AN36" i="6"/>
  <c r="AN26" i="6"/>
  <c r="AN40" i="6"/>
  <c r="AN38" i="6"/>
  <c r="AN30" i="6"/>
  <c r="AN35" i="6"/>
  <c r="AN33" i="6"/>
  <c r="AN28" i="6"/>
  <c r="AN27" i="6"/>
  <c r="AN29" i="6"/>
  <c r="AN37" i="6"/>
  <c r="AN39" i="6"/>
  <c r="AN41" i="6"/>
  <c r="AN31" i="6"/>
  <c r="AN34" i="6"/>
  <c r="AN32" i="6"/>
  <c r="AN19" i="6"/>
  <c r="AN21" i="6"/>
  <c r="AN8" i="6"/>
  <c r="AN7" i="6"/>
  <c r="AN10" i="6"/>
  <c r="AN18" i="6"/>
  <c r="AN20" i="6"/>
  <c r="AN15" i="6"/>
  <c r="AN6" i="6"/>
  <c r="AN13" i="6"/>
  <c r="AN17" i="6"/>
  <c r="AN11" i="6"/>
  <c r="AN12" i="6"/>
  <c r="AN14" i="6"/>
  <c r="AN9" i="6"/>
  <c r="AN16" i="6"/>
  <c r="Y35" i="4"/>
  <c r="AN49" i="6" l="1"/>
  <c r="AN50" i="6"/>
  <c r="AN51" i="6"/>
  <c r="AN52" i="6"/>
  <c r="AN45" i="6"/>
  <c r="AN53" i="6"/>
  <c r="AN46" i="6"/>
  <c r="AN54" i="6"/>
  <c r="AN47" i="6"/>
  <c r="AN48" i="6"/>
  <c r="AN61" i="6"/>
  <c r="AN58" i="6"/>
  <c r="AN66" i="6"/>
  <c r="AN63" i="6"/>
  <c r="AN60" i="6"/>
  <c r="AN62" i="6"/>
  <c r="AN59" i="6"/>
  <c r="AN67" i="6"/>
  <c r="AN64" i="6"/>
  <c r="AN65" i="6"/>
  <c r="AP25" i="6"/>
  <c r="AO41" i="6"/>
  <c r="AO35" i="6"/>
  <c r="AO27" i="6"/>
  <c r="AO29" i="6"/>
  <c r="AO39" i="6"/>
  <c r="AO34" i="6"/>
  <c r="AO40" i="6"/>
  <c r="AO30" i="6"/>
  <c r="AO31" i="6"/>
  <c r="AO26" i="6"/>
  <c r="AO36" i="6"/>
  <c r="AO37" i="6"/>
  <c r="AO32" i="6"/>
  <c r="AO33" i="6"/>
  <c r="AO28" i="6"/>
  <c r="AO38" i="6"/>
  <c r="AO10" i="6"/>
  <c r="AO9" i="6"/>
  <c r="AO8" i="6"/>
  <c r="AO19" i="6"/>
  <c r="AO18" i="6"/>
  <c r="AO16" i="6"/>
  <c r="AO7" i="6"/>
  <c r="AO11" i="6"/>
  <c r="AO21" i="6"/>
  <c r="AO6" i="6"/>
  <c r="AO17" i="6"/>
  <c r="AO12" i="6"/>
  <c r="AO13" i="6"/>
  <c r="AO15" i="6"/>
  <c r="AO14" i="6"/>
  <c r="AO20" i="6"/>
  <c r="Y36" i="4"/>
  <c r="AO48" i="6" l="1"/>
  <c r="AO49" i="6"/>
  <c r="AO50" i="6"/>
  <c r="AO51" i="6"/>
  <c r="AO52" i="6"/>
  <c r="AO45" i="6"/>
  <c r="AO53" i="6"/>
  <c r="AO46" i="6"/>
  <c r="AO54" i="6"/>
  <c r="AO47" i="6"/>
  <c r="AO64" i="6"/>
  <c r="AO61" i="6"/>
  <c r="AO58" i="6"/>
  <c r="AO66" i="6"/>
  <c r="AO63" i="6"/>
  <c r="AO65" i="6"/>
  <c r="AO62" i="6"/>
  <c r="AO59" i="6"/>
  <c r="AO67" i="6"/>
  <c r="AO60" i="6"/>
  <c r="AQ25" i="6"/>
  <c r="AP41" i="6"/>
  <c r="AP34" i="6"/>
  <c r="AP36" i="6"/>
  <c r="AP27" i="6"/>
  <c r="AP29" i="6"/>
  <c r="AP33" i="6"/>
  <c r="AP39" i="6"/>
  <c r="AP37" i="6"/>
  <c r="AP35" i="6"/>
  <c r="AP32" i="6"/>
  <c r="AP40" i="6"/>
  <c r="AP26" i="6"/>
  <c r="AP30" i="6"/>
  <c r="AP28" i="6"/>
  <c r="AP38" i="6"/>
  <c r="AP31" i="6"/>
  <c r="AP15" i="6"/>
  <c r="AP14" i="6"/>
  <c r="AP17" i="6"/>
  <c r="AP9" i="6"/>
  <c r="AP10" i="6"/>
  <c r="AP20" i="6"/>
  <c r="AP19" i="6"/>
  <c r="AP11" i="6"/>
  <c r="AP16" i="6"/>
  <c r="AP7" i="6"/>
  <c r="AP21" i="6"/>
  <c r="AP13" i="6"/>
  <c r="AP6" i="6"/>
  <c r="AP12" i="6"/>
  <c r="AP18" i="6"/>
  <c r="AP8" i="6"/>
  <c r="Y37" i="4"/>
  <c r="AP47" i="6" l="1"/>
  <c r="AP48" i="6"/>
  <c r="AP49" i="6"/>
  <c r="AP50" i="6"/>
  <c r="AP51" i="6"/>
  <c r="AP52" i="6"/>
  <c r="AP45" i="6"/>
  <c r="AP53" i="6"/>
  <c r="AP46" i="6"/>
  <c r="AP54" i="6"/>
  <c r="AP59" i="6"/>
  <c r="AP67" i="6"/>
  <c r="AP64" i="6"/>
  <c r="AP61" i="6"/>
  <c r="AP58" i="6"/>
  <c r="AP66" i="6"/>
  <c r="AP60" i="6"/>
  <c r="AP65" i="6"/>
  <c r="AP62" i="6"/>
  <c r="AP63" i="6"/>
  <c r="AR25" i="6"/>
  <c r="AQ35" i="6"/>
  <c r="AQ40" i="6"/>
  <c r="AQ33" i="6"/>
  <c r="AQ41" i="6"/>
  <c r="AQ39" i="6"/>
  <c r="AQ28" i="6"/>
  <c r="AQ32" i="6"/>
  <c r="AQ30" i="6"/>
  <c r="AQ38" i="6"/>
  <c r="AQ37" i="6"/>
  <c r="AQ36" i="6"/>
  <c r="AQ34" i="6"/>
  <c r="AQ26" i="6"/>
  <c r="AQ31" i="6"/>
  <c r="AQ27" i="6"/>
  <c r="AQ29" i="6"/>
  <c r="AQ9" i="6"/>
  <c r="AQ17" i="6"/>
  <c r="AQ8" i="6"/>
  <c r="AQ15" i="6"/>
  <c r="AQ12" i="6"/>
  <c r="AQ16" i="6"/>
  <c r="AQ21" i="6"/>
  <c r="AQ10" i="6"/>
  <c r="AQ7" i="6"/>
  <c r="AQ19" i="6"/>
  <c r="AQ18" i="6"/>
  <c r="AQ11" i="6"/>
  <c r="AQ6" i="6"/>
  <c r="AQ20" i="6"/>
  <c r="AQ14" i="6"/>
  <c r="AQ13" i="6"/>
  <c r="Y38" i="4"/>
  <c r="AQ46" i="6" l="1"/>
  <c r="AQ54" i="6"/>
  <c r="AQ47" i="6"/>
  <c r="AQ48" i="6"/>
  <c r="AQ49" i="6"/>
  <c r="AQ50" i="6"/>
  <c r="AQ51" i="6"/>
  <c r="AQ52" i="6"/>
  <c r="AQ45" i="6"/>
  <c r="AQ53" i="6"/>
  <c r="AQ62" i="6"/>
  <c r="AQ59" i="6"/>
  <c r="AQ67" i="6"/>
  <c r="AQ64" i="6"/>
  <c r="AQ61" i="6"/>
  <c r="AQ63" i="6"/>
  <c r="AQ60" i="6"/>
  <c r="AQ65" i="6"/>
  <c r="AQ66" i="6"/>
  <c r="AQ58" i="6"/>
  <c r="AS25" i="6"/>
  <c r="AR39" i="6"/>
  <c r="AR32" i="6"/>
  <c r="AR41" i="6"/>
  <c r="AR40" i="6"/>
  <c r="AR28" i="6"/>
  <c r="AR34" i="6"/>
  <c r="AR26" i="6"/>
  <c r="AR31" i="6"/>
  <c r="AR36" i="6"/>
  <c r="AR27" i="6"/>
  <c r="AR29" i="6"/>
  <c r="AR37" i="6"/>
  <c r="AR38" i="6"/>
  <c r="AR35" i="6"/>
  <c r="AR33" i="6"/>
  <c r="AR30" i="6"/>
  <c r="AR11" i="6"/>
  <c r="AR18" i="6"/>
  <c r="AR17" i="6"/>
  <c r="AR12" i="6"/>
  <c r="AR8" i="6"/>
  <c r="AR6" i="6"/>
  <c r="AR16" i="6"/>
  <c r="AR9" i="6"/>
  <c r="AR13" i="6"/>
  <c r="AR21" i="6"/>
  <c r="AR7" i="6"/>
  <c r="AR10" i="6"/>
  <c r="AR15" i="6"/>
  <c r="AR19" i="6"/>
  <c r="AR20" i="6"/>
  <c r="AR14" i="6"/>
  <c r="Y39" i="4"/>
  <c r="AR45" i="6" l="1"/>
  <c r="AR53" i="6"/>
  <c r="AR46" i="6"/>
  <c r="AR54" i="6"/>
  <c r="AR47" i="6"/>
  <c r="AR48" i="6"/>
  <c r="AR49" i="6"/>
  <c r="AR50" i="6"/>
  <c r="AR51" i="6"/>
  <c r="AR52" i="6"/>
  <c r="AR65" i="6"/>
  <c r="AR62" i="6"/>
  <c r="AR59" i="6"/>
  <c r="AR67" i="6"/>
  <c r="AR64" i="6"/>
  <c r="AR58" i="6"/>
  <c r="AR66" i="6"/>
  <c r="AR63" i="6"/>
  <c r="AR60" i="6"/>
  <c r="AR61" i="6"/>
  <c r="AT25" i="6"/>
  <c r="AS40" i="6"/>
  <c r="AS38" i="6"/>
  <c r="AS28" i="6"/>
  <c r="AS30" i="6"/>
  <c r="AS26" i="6"/>
  <c r="AS27" i="6"/>
  <c r="AS33" i="6"/>
  <c r="AS31" i="6"/>
  <c r="AS37" i="6"/>
  <c r="AS39" i="6"/>
  <c r="AS34" i="6"/>
  <c r="AS35" i="6"/>
  <c r="AS41" i="6"/>
  <c r="AS36" i="6"/>
  <c r="AS32" i="6"/>
  <c r="AS29" i="6"/>
  <c r="AS8" i="6"/>
  <c r="AS6" i="6"/>
  <c r="AS13" i="6"/>
  <c r="AS16" i="6"/>
  <c r="AS18" i="6"/>
  <c r="AS19" i="6"/>
  <c r="AS21" i="6"/>
  <c r="AS11" i="6"/>
  <c r="AS9" i="6"/>
  <c r="AS12" i="6"/>
  <c r="AS14" i="6"/>
  <c r="AS15" i="6"/>
  <c r="AS10" i="6"/>
  <c r="AS7" i="6"/>
  <c r="AS17" i="6"/>
  <c r="AS20" i="6"/>
  <c r="Y40" i="4"/>
  <c r="AS52" i="6" l="1"/>
  <c r="AS45" i="6"/>
  <c r="AS53" i="6"/>
  <c r="AS46" i="6"/>
  <c r="AS54" i="6"/>
  <c r="AS47" i="6"/>
  <c r="AS48" i="6"/>
  <c r="AS49" i="6"/>
  <c r="AS50" i="6"/>
  <c r="AS51" i="6"/>
  <c r="AS60" i="6"/>
  <c r="AS65" i="6"/>
  <c r="AS62" i="6"/>
  <c r="AS59" i="6"/>
  <c r="AS67" i="6"/>
  <c r="AS61" i="6"/>
  <c r="AS58" i="6"/>
  <c r="AS66" i="6"/>
  <c r="AS63" i="6"/>
  <c r="AS64" i="6"/>
  <c r="AU25" i="6"/>
  <c r="AT38" i="6"/>
  <c r="AT30" i="6"/>
  <c r="AT39" i="6"/>
  <c r="AT37" i="6"/>
  <c r="AT27" i="6"/>
  <c r="AT26" i="6"/>
  <c r="AT32" i="6"/>
  <c r="AT29" i="6"/>
  <c r="AT28" i="6"/>
  <c r="AT33" i="6"/>
  <c r="AT31" i="6"/>
  <c r="AT36" i="6"/>
  <c r="AT34" i="6"/>
  <c r="AT40" i="6"/>
  <c r="AT35" i="6"/>
  <c r="AT41" i="6"/>
  <c r="AT20" i="6"/>
  <c r="AT19" i="6"/>
  <c r="AT15" i="6"/>
  <c r="AT11" i="6"/>
  <c r="AT7" i="6"/>
  <c r="AT10" i="6"/>
  <c r="AT8" i="6"/>
  <c r="AT9" i="6"/>
  <c r="AT12" i="6"/>
  <c r="AT17" i="6"/>
  <c r="AT6" i="6"/>
  <c r="AT18" i="6"/>
  <c r="AT14" i="6"/>
  <c r="AT13" i="6"/>
  <c r="AT16" i="6"/>
  <c r="AT21" i="6"/>
  <c r="Y41" i="4"/>
  <c r="AT51" i="6" l="1"/>
  <c r="AT52" i="6"/>
  <c r="AT45" i="6"/>
  <c r="AT53" i="6"/>
  <c r="AT46" i="6"/>
  <c r="AT54" i="6"/>
  <c r="AT47" i="6"/>
  <c r="AT48" i="6"/>
  <c r="AT49" i="6"/>
  <c r="AT50" i="6"/>
  <c r="AT63" i="6"/>
  <c r="AT60" i="6"/>
  <c r="AT65" i="6"/>
  <c r="AT62" i="6"/>
  <c r="AT64" i="6"/>
  <c r="AT61" i="6"/>
  <c r="AT58" i="6"/>
  <c r="AT66" i="6"/>
  <c r="AT59" i="6"/>
  <c r="AT67" i="6"/>
  <c r="AV25" i="6"/>
  <c r="AU27" i="6"/>
  <c r="AU37" i="6"/>
  <c r="AU41" i="6"/>
  <c r="AU26" i="6"/>
  <c r="AU29" i="6"/>
  <c r="AU31" i="6"/>
  <c r="AU28" i="6"/>
  <c r="AU34" i="6"/>
  <c r="AU32" i="6"/>
  <c r="AU30" i="6"/>
  <c r="AU39" i="6"/>
  <c r="AU33" i="6"/>
  <c r="AU38" i="6"/>
  <c r="AU35" i="6"/>
  <c r="AU36" i="6"/>
  <c r="AU40" i="6"/>
  <c r="AU16" i="6"/>
  <c r="AU21" i="6"/>
  <c r="AU13" i="6"/>
  <c r="AU14" i="6"/>
  <c r="AU17" i="6"/>
  <c r="AU15" i="6"/>
  <c r="AU6" i="6"/>
  <c r="AU19" i="6"/>
  <c r="AU20" i="6"/>
  <c r="AU7" i="6"/>
  <c r="AU12" i="6"/>
  <c r="AU9" i="6"/>
  <c r="AU18" i="6"/>
  <c r="AU8" i="6"/>
  <c r="AU10" i="6"/>
  <c r="AU11" i="6"/>
  <c r="Y43" i="4"/>
  <c r="Y42" i="4"/>
  <c r="AU50" i="6" l="1"/>
  <c r="AU51" i="6"/>
  <c r="AU52" i="6"/>
  <c r="AU45" i="6"/>
  <c r="AU53" i="6"/>
  <c r="AU46" i="6"/>
  <c r="AU54" i="6"/>
  <c r="AU47" i="6"/>
  <c r="AU48" i="6"/>
  <c r="AU49" i="6"/>
  <c r="AU58" i="6"/>
  <c r="AU66" i="6"/>
  <c r="AU63" i="6"/>
  <c r="AU60" i="6"/>
  <c r="AU65" i="6"/>
  <c r="AU59" i="6"/>
  <c r="AU67" i="6"/>
  <c r="AU64" i="6"/>
  <c r="AU61" i="6"/>
  <c r="AU62" i="6"/>
  <c r="AW25" i="6"/>
  <c r="AV30" i="6"/>
  <c r="AV35" i="6"/>
  <c r="AV26" i="6"/>
  <c r="AV38" i="6"/>
  <c r="AV40" i="6"/>
  <c r="AV41" i="6"/>
  <c r="AV32" i="6"/>
  <c r="AV28" i="6"/>
  <c r="AV31" i="6"/>
  <c r="AV33" i="6"/>
  <c r="AV39" i="6"/>
  <c r="AV29" i="6"/>
  <c r="AV37" i="6"/>
  <c r="AV36" i="6"/>
  <c r="AV34" i="6"/>
  <c r="AV27" i="6"/>
  <c r="AV15" i="6"/>
  <c r="AV17" i="6"/>
  <c r="AV13" i="6"/>
  <c r="AV9" i="6"/>
  <c r="AV11" i="6"/>
  <c r="AV20" i="6"/>
  <c r="AV18" i="6"/>
  <c r="AV12" i="6"/>
  <c r="AV19" i="6"/>
  <c r="AV14" i="6"/>
  <c r="AV8" i="6"/>
  <c r="AV6" i="6"/>
  <c r="AV7" i="6"/>
  <c r="AV16" i="6"/>
  <c r="AV21" i="6"/>
  <c r="AV10" i="6"/>
  <c r="Y44" i="4"/>
  <c r="AV49" i="6" l="1"/>
  <c r="AV50" i="6"/>
  <c r="AV51" i="6"/>
  <c r="AV52" i="6"/>
  <c r="AV45" i="6"/>
  <c r="AV53" i="6"/>
  <c r="AV46" i="6"/>
  <c r="AV54" i="6"/>
  <c r="AV47" i="6"/>
  <c r="AV48" i="6"/>
  <c r="AV61" i="6"/>
  <c r="AV58" i="6"/>
  <c r="AV66" i="6"/>
  <c r="AV63" i="6"/>
  <c r="AV60" i="6"/>
  <c r="AV62" i="6"/>
  <c r="AV59" i="6"/>
  <c r="AV67" i="6"/>
  <c r="AV64" i="6"/>
  <c r="AV65" i="6"/>
  <c r="AX25" i="6"/>
  <c r="AW35" i="6"/>
  <c r="AW39" i="6"/>
  <c r="AW27" i="6"/>
  <c r="AW29" i="6"/>
  <c r="AW37" i="6"/>
  <c r="AW40" i="6"/>
  <c r="AW41" i="6"/>
  <c r="AW30" i="6"/>
  <c r="AW33" i="6"/>
  <c r="AW26" i="6"/>
  <c r="AW34" i="6"/>
  <c r="AW31" i="6"/>
  <c r="AW28" i="6"/>
  <c r="AW32" i="6"/>
  <c r="AW38" i="6"/>
  <c r="AW36" i="6"/>
  <c r="AW19" i="6"/>
  <c r="AW15" i="6"/>
  <c r="AW12" i="6"/>
  <c r="AW10" i="6"/>
  <c r="AW14" i="6"/>
  <c r="AW18" i="6"/>
  <c r="AW16" i="6"/>
  <c r="AW8" i="6"/>
  <c r="AW6" i="6"/>
  <c r="AW17" i="6"/>
  <c r="AW7" i="6"/>
  <c r="AW20" i="6"/>
  <c r="AW11" i="6"/>
  <c r="AW21" i="6"/>
  <c r="AW9" i="6"/>
  <c r="AW13" i="6"/>
  <c r="Y45" i="4"/>
  <c r="AW48" i="6" l="1"/>
  <c r="AW49" i="6"/>
  <c r="AW50" i="6"/>
  <c r="AW51" i="6"/>
  <c r="AW52" i="6"/>
  <c r="AW45" i="6"/>
  <c r="AW53" i="6"/>
  <c r="AW46" i="6"/>
  <c r="AW54" i="6"/>
  <c r="AW47" i="6"/>
  <c r="AW64" i="6"/>
  <c r="AW61" i="6"/>
  <c r="AW58" i="6"/>
  <c r="AW66" i="6"/>
  <c r="AW63" i="6"/>
  <c r="AW65" i="6"/>
  <c r="AW62" i="6"/>
  <c r="AW59" i="6"/>
  <c r="AW67" i="6"/>
  <c r="AW60" i="6"/>
  <c r="AY25" i="6"/>
  <c r="AX41" i="6"/>
  <c r="AX28" i="6"/>
  <c r="AX39" i="6"/>
  <c r="AX27" i="6"/>
  <c r="AX29" i="6"/>
  <c r="AX33" i="6"/>
  <c r="AX36" i="6"/>
  <c r="AX40" i="6"/>
  <c r="AX26" i="6"/>
  <c r="AX37" i="6"/>
  <c r="AX35" i="6"/>
  <c r="AX34" i="6"/>
  <c r="AX32" i="6"/>
  <c r="AX30" i="6"/>
  <c r="AX38" i="6"/>
  <c r="AX31" i="6"/>
  <c r="AX9" i="6"/>
  <c r="AX11" i="6"/>
  <c r="AX8" i="6"/>
  <c r="AX21" i="6"/>
  <c r="AX20" i="6"/>
  <c r="AX12" i="6"/>
  <c r="AX7" i="6"/>
  <c r="AX14" i="6"/>
  <c r="AX19" i="6"/>
  <c r="AX13" i="6"/>
  <c r="AX16" i="6"/>
  <c r="AX6" i="6"/>
  <c r="AX17" i="6"/>
  <c r="AX10" i="6"/>
  <c r="AX15" i="6"/>
  <c r="AX18" i="6"/>
  <c r="Y46" i="4"/>
  <c r="AX47" i="6" l="1"/>
  <c r="AX48" i="6"/>
  <c r="AX49" i="6"/>
  <c r="AX50" i="6"/>
  <c r="AX51" i="6"/>
  <c r="AX52" i="6"/>
  <c r="AX45" i="6"/>
  <c r="AX53" i="6"/>
  <c r="AX46" i="6"/>
  <c r="AX54" i="6"/>
  <c r="AX59" i="6"/>
  <c r="AX67" i="6"/>
  <c r="AX64" i="6"/>
  <c r="AX61" i="6"/>
  <c r="AX58" i="6"/>
  <c r="AX66" i="6"/>
  <c r="AX60" i="6"/>
  <c r="AX65" i="6"/>
  <c r="AX62" i="6"/>
  <c r="AX63" i="6"/>
  <c r="AZ25" i="6"/>
  <c r="AY40" i="6"/>
  <c r="AY33" i="6"/>
  <c r="AY28" i="6"/>
  <c r="AY41" i="6"/>
  <c r="AY39" i="6"/>
  <c r="AY30" i="6"/>
  <c r="AY29" i="6"/>
  <c r="AY38" i="6"/>
  <c r="AY26" i="6"/>
  <c r="AY36" i="6"/>
  <c r="AY34" i="6"/>
  <c r="AY32" i="6"/>
  <c r="AY35" i="6"/>
  <c r="AY31" i="6"/>
  <c r="AY27" i="6"/>
  <c r="AY37" i="6"/>
  <c r="AY11" i="6"/>
  <c r="AY20" i="6"/>
  <c r="AY21" i="6"/>
  <c r="AY17" i="6"/>
  <c r="AY6" i="6"/>
  <c r="AY18" i="6"/>
  <c r="AY12" i="6"/>
  <c r="AY10" i="6"/>
  <c r="AY16" i="6"/>
  <c r="AY13" i="6"/>
  <c r="AY15" i="6"/>
  <c r="AY8" i="6"/>
  <c r="AY19" i="6"/>
  <c r="AY9" i="6"/>
  <c r="AY7" i="6"/>
  <c r="AY14" i="6"/>
  <c r="AY46" i="6" l="1"/>
  <c r="AY54" i="6"/>
  <c r="AY47" i="6"/>
  <c r="AY48" i="6"/>
  <c r="AY49" i="6"/>
  <c r="AY50" i="6"/>
  <c r="AY51" i="6"/>
  <c r="AY52" i="6"/>
  <c r="AY45" i="6"/>
  <c r="AY53" i="6"/>
  <c r="AY62" i="6"/>
  <c r="AY59" i="6"/>
  <c r="AY67" i="6"/>
  <c r="AY64" i="6"/>
  <c r="AY61" i="6"/>
  <c r="AY63" i="6"/>
  <c r="AY60" i="6"/>
  <c r="AY65" i="6"/>
  <c r="AY66" i="6"/>
  <c r="AY58" i="6"/>
  <c r="BA25" i="6"/>
  <c r="AZ39" i="6"/>
  <c r="AZ41" i="6"/>
  <c r="AZ28" i="6"/>
  <c r="AZ34" i="6"/>
  <c r="AZ27" i="6"/>
  <c r="AZ40" i="6"/>
  <c r="AZ36" i="6"/>
  <c r="AZ30" i="6"/>
  <c r="AZ26" i="6"/>
  <c r="AZ29" i="6"/>
  <c r="AZ37" i="6"/>
  <c r="AZ32" i="6"/>
  <c r="AZ31" i="6"/>
  <c r="AZ35" i="6"/>
  <c r="AZ33" i="6"/>
  <c r="AZ38" i="6"/>
  <c r="AZ9" i="6"/>
  <c r="AZ13" i="6"/>
  <c r="AZ16" i="6"/>
  <c r="AZ18" i="6"/>
  <c r="AZ6" i="6"/>
  <c r="AZ12" i="6"/>
  <c r="AZ7" i="6"/>
  <c r="AZ15" i="6"/>
  <c r="AZ21" i="6"/>
  <c r="AZ8" i="6"/>
  <c r="AZ19" i="6"/>
  <c r="AZ17" i="6"/>
  <c r="AZ20" i="6"/>
  <c r="AZ14" i="6"/>
  <c r="AZ11" i="6"/>
  <c r="AZ10" i="6"/>
  <c r="AZ45" i="6" l="1"/>
  <c r="AZ53" i="6"/>
  <c r="AZ46" i="6"/>
  <c r="AZ54" i="6"/>
  <c r="AZ47" i="6"/>
  <c r="AZ48" i="6"/>
  <c r="AZ49" i="6"/>
  <c r="AZ50" i="6"/>
  <c r="AZ51" i="6"/>
  <c r="AZ52" i="6"/>
  <c r="AZ65" i="6"/>
  <c r="AZ62" i="6"/>
  <c r="AZ59" i="6"/>
  <c r="AZ67" i="6"/>
  <c r="AZ64" i="6"/>
  <c r="AZ58" i="6"/>
  <c r="AZ66" i="6"/>
  <c r="AZ63" i="6"/>
  <c r="AZ60" i="6"/>
  <c r="AZ61" i="6"/>
  <c r="BA31" i="6"/>
  <c r="BA38" i="6"/>
  <c r="BA40" i="6"/>
  <c r="BA28" i="6"/>
  <c r="BA27" i="6"/>
  <c r="BA33" i="6"/>
  <c r="BA39" i="6"/>
  <c r="BA29" i="6"/>
  <c r="BA41" i="6"/>
  <c r="BA37" i="6"/>
  <c r="BA26" i="6"/>
  <c r="BA35" i="6"/>
  <c r="BA34" i="6"/>
  <c r="BA32" i="6"/>
  <c r="BA36" i="6"/>
  <c r="BA30" i="6"/>
  <c r="BA13" i="6"/>
  <c r="BA14" i="6"/>
  <c r="BA21" i="6"/>
  <c r="BA6" i="6"/>
  <c r="BA15" i="6"/>
  <c r="BA9" i="6"/>
  <c r="BA16" i="6"/>
  <c r="BA12" i="6"/>
  <c r="BA11" i="6"/>
  <c r="BA20" i="6"/>
  <c r="BA19" i="6"/>
  <c r="BA18" i="6"/>
  <c r="BA17" i="6"/>
  <c r="BA8" i="6"/>
  <c r="BA7" i="6"/>
  <c r="BA10" i="6"/>
  <c r="BA52" i="6" l="1"/>
  <c r="BA45" i="6"/>
  <c r="BA53" i="6"/>
  <c r="BA46" i="6"/>
  <c r="BA54" i="6"/>
  <c r="BA47" i="6"/>
  <c r="BA48" i="6"/>
  <c r="BA49" i="6"/>
  <c r="BA50" i="6"/>
  <c r="BA51" i="6"/>
  <c r="BA60" i="6"/>
  <c r="BA65" i="6"/>
  <c r="BA62" i="6"/>
  <c r="BA59" i="6"/>
  <c r="BA67" i="6"/>
  <c r="BA61" i="6"/>
  <c r="BA58" i="6"/>
  <c r="BA66" i="6"/>
  <c r="BA63" i="6"/>
  <c r="BA64" i="6"/>
</calcChain>
</file>

<file path=xl/comments1.xml><?xml version="1.0" encoding="utf-8"?>
<comments xmlns="http://schemas.openxmlformats.org/spreadsheetml/2006/main">
  <authors>
    <author>만든 이</author>
  </authors>
  <commentList>
    <comment ref="K1" authorId="0" shapeId="0">
      <text>
        <r>
          <rPr>
            <sz val="9"/>
            <color indexed="81"/>
            <rFont val="돋움"/>
            <family val="3"/>
            <charset val="129"/>
          </rPr>
          <t>부대레벨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>
      <text>
        <r>
          <rPr>
            <b/>
            <sz val="9"/>
            <color indexed="81"/>
            <rFont val="돋움"/>
            <family val="3"/>
            <charset val="129"/>
          </rPr>
          <t>데미지 딜링능력 1등</t>
        </r>
      </text>
    </comment>
    <comment ref="B7" authorId="0" shapeId="0">
      <text>
        <r>
          <rPr>
            <sz val="9"/>
            <color indexed="81"/>
            <rFont val="돋움"/>
            <family val="3"/>
            <charset val="129"/>
          </rPr>
          <t xml:space="preserve">광역공격이며 꽤 높은 근접능력도 가지고 있다.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>
      <text>
        <r>
          <rPr>
            <sz val="9"/>
            <color indexed="81"/>
            <rFont val="돋움"/>
            <family val="3"/>
            <charset val="129"/>
          </rPr>
          <t>범위공격이므로</t>
        </r>
        <r>
          <rPr>
            <sz val="9"/>
            <color indexed="81"/>
            <rFont val="Tahoma"/>
            <family val="2"/>
          </rPr>
          <t xml:space="preserve"> dps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약간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낮춤</t>
        </r>
      </text>
    </comment>
    <comment ref="L9" authorId="0" shapeId="0">
      <text>
        <r>
          <rPr>
            <sz val="9"/>
            <color indexed="81"/>
            <rFont val="돋움"/>
            <family val="3"/>
            <charset val="129"/>
          </rPr>
          <t>같은 hp에 같은 dps를 가지면 소형/중형은 계속 병사수가 줄어들면서 공격력에 손실을 입는다. 그래서 훨씬더 작게 해야함.</t>
        </r>
      </text>
    </comment>
    <comment ref="B10" authorId="0" shapeId="0">
      <text>
        <r>
          <rPr>
            <sz val="9"/>
            <color indexed="81"/>
            <rFont val="돋움"/>
            <family val="3"/>
            <charset val="129"/>
          </rPr>
          <t>앤트는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단일공격임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바위를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범위공격처럼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소형잡는데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효과적이되어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곤란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그에따라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작아져야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함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>
      <text>
        <r>
          <rPr>
            <b/>
            <sz val="9"/>
            <color indexed="81"/>
            <rFont val="돋움"/>
            <family val="3"/>
            <charset val="129"/>
          </rPr>
          <t>타천사는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중형유닛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잡는데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유닛이다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만든 이</author>
  </authors>
  <commentList>
    <comment ref="A1" authorId="0" shapeId="0">
      <text>
        <r>
          <rPr>
            <sz val="9"/>
            <color indexed="81"/>
            <rFont val="돋움"/>
            <family val="3"/>
            <charset val="129"/>
          </rPr>
          <t>유닛이 영웅에 의해 증폭이 되었을때 테이블</t>
        </r>
      </text>
    </comment>
  </commentList>
</comments>
</file>

<file path=xl/comments3.xml><?xml version="1.0" encoding="utf-8"?>
<comments xmlns="http://schemas.openxmlformats.org/spreadsheetml/2006/main">
  <authors>
    <author>만든 이</author>
  </authors>
  <commentList>
    <comment ref="K6" authorId="0" shapeId="0">
      <text>
        <r>
          <rPr>
            <sz val="9"/>
            <color indexed="81"/>
            <rFont val="돋움"/>
            <family val="3"/>
            <charset val="129"/>
          </rPr>
          <t>범위공격이므로</t>
        </r>
        <r>
          <rPr>
            <sz val="9"/>
            <color indexed="81"/>
            <rFont val="Tahoma"/>
            <family val="2"/>
          </rPr>
          <t xml:space="preserve"> dps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약간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낮춤</t>
        </r>
      </text>
    </comment>
  </commentList>
</comments>
</file>

<file path=xl/comments4.xml><?xml version="1.0" encoding="utf-8"?>
<comments xmlns="http://schemas.openxmlformats.org/spreadsheetml/2006/main">
  <authors>
    <author>만든 이</author>
  </authors>
  <commentList>
    <comment ref="R3" authorId="0" shapeId="0">
      <text>
        <r>
          <rPr>
            <sz val="9"/>
            <color indexed="81"/>
            <rFont val="돋움"/>
            <family val="3"/>
            <charset val="129"/>
          </rPr>
          <t>영웅의</t>
        </r>
        <r>
          <rPr>
            <sz val="9"/>
            <color indexed="81"/>
            <rFont val="Tahoma"/>
            <family val="2"/>
          </rPr>
          <t xml:space="preserve"> dps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부대</t>
        </r>
        <r>
          <rPr>
            <sz val="9"/>
            <color indexed="81"/>
            <rFont val="Tahoma"/>
            <family val="2"/>
          </rPr>
          <t>dps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1/3</t>
        </r>
        <r>
          <rPr>
            <sz val="9"/>
            <color indexed="81"/>
            <rFont val="돋움"/>
            <family val="3"/>
            <charset val="129"/>
          </rPr>
          <t>수준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>
      <text>
        <r>
          <rPr>
            <sz val="9"/>
            <color indexed="81"/>
            <rFont val="돋움"/>
            <family val="3"/>
            <charset val="129"/>
          </rPr>
          <t>방어력은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유닛방어력의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 xml:space="preserve">배수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b/>
            <sz val="9"/>
            <color indexed="81"/>
            <rFont val="돋움"/>
            <family val="3"/>
            <charset val="129"/>
          </rPr>
          <t>데미지 딜링능력 1등</t>
        </r>
      </text>
    </comment>
    <comment ref="B8" authorId="0" shapeId="0">
      <text>
        <r>
          <rPr>
            <sz val="9"/>
            <color indexed="81"/>
            <rFont val="돋움"/>
            <family val="3"/>
            <charset val="129"/>
          </rPr>
          <t xml:space="preserve">광역공격이며 꽤 높은 근접능력도 가지고 있다.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>
      <text>
        <r>
          <rPr>
            <sz val="9"/>
            <color indexed="81"/>
            <rFont val="돋움"/>
            <family val="3"/>
            <charset val="129"/>
          </rPr>
          <t>앤트는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단일공격임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바위를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범위공격처럼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소형잡는데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효과적이되어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곤란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그에따라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작아져야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함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돋움"/>
            <family val="3"/>
            <charset val="129"/>
          </rPr>
          <t>타천사는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중형유닛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잡는데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유닛이다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 shapeId="0">
      <text>
        <r>
          <rPr>
            <b/>
            <sz val="9"/>
            <color indexed="81"/>
            <rFont val="돋움"/>
            <family val="3"/>
            <charset val="129"/>
          </rPr>
          <t>데미지 딜링능력 1등</t>
        </r>
      </text>
    </comment>
    <comment ref="B18" authorId="0" shapeId="0">
      <text>
        <r>
          <rPr>
            <sz val="9"/>
            <color indexed="81"/>
            <rFont val="돋움"/>
            <family val="3"/>
            <charset val="129"/>
          </rPr>
          <t xml:space="preserve">광역공격이며 꽤 높은 근접능력도 가지고 있다.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" authorId="0" shapeId="0">
      <text>
        <r>
          <rPr>
            <sz val="9"/>
            <color indexed="81"/>
            <rFont val="돋움"/>
            <family val="3"/>
            <charset val="129"/>
          </rPr>
          <t>앤트는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단일공격임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바위를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범위공격처럼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소형잡는데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효과적이되어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곤란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그에따라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작아져야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함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" authorId="0" shapeId="0">
      <text>
        <r>
          <rPr>
            <b/>
            <sz val="9"/>
            <color indexed="81"/>
            <rFont val="돋움"/>
            <family val="3"/>
            <charset val="129"/>
          </rPr>
          <t>타천사는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중형유닛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잡는데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유닛이다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영웅간 기본능력치는 최대 10%차이남</t>
        </r>
      </text>
    </comment>
    <comment ref="B56" authorId="0" shapeId="0">
      <text>
        <r>
          <rPr>
            <b/>
            <sz val="9"/>
            <color indexed="81"/>
            <rFont val="돋움"/>
            <family val="3"/>
            <charset val="129"/>
          </rPr>
          <t>영웅간 기본능력치는 최대 10%차이남</t>
        </r>
      </text>
    </comment>
  </commentList>
</comments>
</file>

<file path=xl/comments5.xml><?xml version="1.0" encoding="utf-8"?>
<comments xmlns="http://schemas.openxmlformats.org/spreadsheetml/2006/main">
  <authors>
    <author>만든 이</author>
  </authors>
  <commentList>
    <comment ref="L14" authorId="0" shapeId="0">
      <text>
        <r>
          <rPr>
            <sz val="9"/>
            <color indexed="81"/>
            <rFont val="돋움"/>
            <family val="3"/>
            <charset val="129"/>
          </rPr>
          <t>영웅이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기본적으로</t>
        </r>
        <r>
          <rPr>
            <sz val="9"/>
            <color indexed="81"/>
            <rFont val="Tahoma"/>
            <family val="2"/>
          </rPr>
          <t xml:space="preserve"> 100%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능력은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발휘하니까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9" authorId="0" shapeId="0">
      <text>
        <r>
          <rPr>
            <b/>
            <sz val="9"/>
            <color indexed="81"/>
            <rFont val="Tahoma"/>
            <family val="2"/>
          </rPr>
          <t>20%</t>
        </r>
        <r>
          <rPr>
            <b/>
            <sz val="9"/>
            <color indexed="81"/>
            <rFont val="돋움"/>
            <family val="3"/>
            <charset val="129"/>
          </rPr>
          <t>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전력이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증가하므로</t>
        </r>
        <r>
          <rPr>
            <b/>
            <sz val="9"/>
            <color indexed="81"/>
            <rFont val="Tahoma"/>
            <family val="2"/>
          </rPr>
          <t xml:space="preserve"> 100(1%</t>
        </r>
        <r>
          <rPr>
            <b/>
            <sz val="9"/>
            <color indexed="81"/>
            <rFont val="돋움"/>
            <family val="3"/>
            <charset val="129"/>
          </rPr>
          <t>상승점수</t>
        </r>
        <r>
          <rPr>
            <b/>
            <sz val="9"/>
            <color indexed="81"/>
            <rFont val="Tahoma"/>
            <family val="2"/>
          </rPr>
          <t>) * 20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렙은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15~16</t>
        </r>
        <r>
          <rPr>
            <b/>
            <sz val="9"/>
            <color indexed="81"/>
            <rFont val="돋움"/>
            <family val="3"/>
            <charset val="129"/>
          </rPr>
          <t>레벨과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능력치다
</t>
        </r>
      </text>
    </comment>
    <comment ref="W19" authorId="0" shapeId="0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렙은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15~16</t>
        </r>
        <r>
          <rPr>
            <b/>
            <sz val="9"/>
            <color indexed="81"/>
            <rFont val="돋움"/>
            <family val="3"/>
            <charset val="129"/>
          </rPr>
          <t>레벨과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능력치다
</t>
        </r>
      </text>
    </comment>
    <comment ref="X19" authorId="0" shapeId="0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렙은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 xml:space="preserve"> 15~16</t>
        </r>
        <r>
          <rPr>
            <b/>
            <sz val="9"/>
            <color indexed="81"/>
            <rFont val="돋움"/>
            <family val="3"/>
            <charset val="129"/>
          </rPr>
          <t>레벨과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능력치다
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렙부대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부대와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렙부대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가진다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F68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기본스탯은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선형증가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렙업에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지수이므로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키우면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키울수록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벌어지게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G68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렙업마다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증가량
초반렙엔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키울수록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성과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벌어져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만렙까지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키우면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강해진다
</t>
        </r>
      </text>
    </comment>
    <comment ref="M71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아이템과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특성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없을때
</t>
        </r>
      </text>
    </comment>
    <comment ref="N71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장착후</t>
        </r>
      </text>
    </comment>
    <comment ref="O71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스킬버프까지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받음
</t>
        </r>
      </text>
    </comment>
    <comment ref="P71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특성버프까지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받음
</t>
        </r>
      </text>
    </comment>
    <comment ref="F108" authorId="0" shapeId="0">
      <text>
        <r>
          <rPr>
            <sz val="9"/>
            <color indexed="81"/>
            <rFont val="돋움"/>
            <family val="3"/>
            <charset val="129"/>
          </rPr>
          <t>공속은 병과에따라 특별히 차이가 있진 않다.
소형에선 창병이 가장빠르고 중형에선 라이칸이 가장 빠를수 있기때문. 그렇기 때문에 영웅의 병과간에 차이는 없고 단지 영웅끼리의 약간의 차이뿐이다.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15" authorId="0" shapeId="0">
      <text>
        <r>
          <rPr>
            <sz val="9"/>
            <color indexed="81"/>
            <rFont val="돋움"/>
            <family val="3"/>
            <charset val="129"/>
          </rPr>
          <t>크게 공격과 방어 두개로 나눈다음 방어쪽은 다시 체력과 방어력으로 나눠서 분배한다.
체력+방어력은 모든 영웅이 같아야 한다.</t>
        </r>
      </text>
    </comment>
    <comment ref="L116" authorId="0" shapeId="0">
      <text>
        <r>
          <rPr>
            <sz val="9"/>
            <color indexed="81"/>
            <rFont val="돋움"/>
            <family val="3"/>
            <charset val="129"/>
          </rPr>
          <t>체력증폭을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포기하고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공격력증폭을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극대화한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영웅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6" authorId="0" shapeId="0">
      <text>
        <r>
          <rPr>
            <sz val="9"/>
            <color indexed="81"/>
            <rFont val="돋움"/>
            <family val="3"/>
            <charset val="129"/>
          </rPr>
          <t>한스탯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몰빵영웅은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상위등급의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표준스탯에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맞먹음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7" authorId="0" shapeId="0">
      <text>
        <r>
          <rPr>
            <sz val="9"/>
            <color indexed="81"/>
            <rFont val="돋움"/>
            <family val="3"/>
            <charset val="129"/>
          </rPr>
          <t>표준형. 모든 스탯을 고르게 증폭시킴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8" authorId="0" shapeId="0">
      <text>
        <r>
          <rPr>
            <sz val="9"/>
            <color indexed="81"/>
            <rFont val="돋움"/>
            <family val="3"/>
            <charset val="129"/>
          </rPr>
          <t>공격력 추가증폭을 포기하고 체력추가증폭에 특화</t>
        </r>
      </text>
    </comment>
  </commentList>
</comments>
</file>

<file path=xl/comments6.xml><?xml version="1.0" encoding="utf-8"?>
<comments xmlns="http://schemas.openxmlformats.org/spreadsheetml/2006/main">
  <authors>
    <author>만든 이</author>
  </authors>
  <commentList>
    <comment ref="B22" authorId="0" shapeId="0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렙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성영웅의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평균스탯값
</t>
        </r>
      </text>
    </comment>
    <comment ref="W26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만든 이:
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렙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성영웅의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평균스탯값
</t>
        </r>
      </text>
    </comment>
    <comment ref="N56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영웅렙제한땜에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</t>
        </r>
        <r>
          <rPr>
            <sz val="9"/>
            <color indexed="81"/>
            <rFont val="Tahoma"/>
            <family val="2"/>
          </rPr>
          <t>.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4</t>
        </r>
        <r>
          <rPr>
            <sz val="9"/>
            <color indexed="81"/>
            <rFont val="돋움"/>
            <family val="3"/>
            <charset val="129"/>
          </rPr>
          <t>성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부대렙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대항할수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가장저렙
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렙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성영웅의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평균스탯값
</t>
        </r>
      </text>
    </comment>
    <comment ref="A85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부대</t>
        </r>
        <r>
          <rPr>
            <sz val="9"/>
            <color indexed="81"/>
            <rFont val="Tahoma"/>
            <family val="2"/>
          </rPr>
          <t>dps</t>
        </r>
        <r>
          <rPr>
            <sz val="9"/>
            <color indexed="81"/>
            <rFont val="돋움"/>
            <family val="3"/>
            <charset val="129"/>
          </rPr>
          <t>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A100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부대</t>
        </r>
        <r>
          <rPr>
            <sz val="9"/>
            <color indexed="81"/>
            <rFont val="Tahoma"/>
            <family val="2"/>
          </rPr>
          <t>dps</t>
        </r>
        <r>
          <rPr>
            <sz val="9"/>
            <color indexed="81"/>
            <rFont val="돋움"/>
            <family val="3"/>
            <charset val="129"/>
          </rPr>
          <t>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</commentList>
</comments>
</file>

<file path=xl/comments7.xml><?xml version="1.0" encoding="utf-8"?>
<comments xmlns="http://schemas.openxmlformats.org/spreadsheetml/2006/main">
  <authors>
    <author>만든 이</author>
  </authors>
  <commentList>
    <comment ref="D45" authorId="0" shapeId="0">
      <text>
        <r>
          <rPr>
            <b/>
            <sz val="9"/>
            <color indexed="81"/>
            <rFont val="Tahoma"/>
            <family val="2"/>
          </rPr>
          <t>만든 이:
10</t>
        </r>
        <r>
          <rPr>
            <b/>
            <sz val="9"/>
            <color indexed="81"/>
            <rFont val="돋움"/>
            <family val="3"/>
            <charset val="129"/>
          </rPr>
          <t>초마다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쏘는거라서</t>
        </r>
        <r>
          <rPr>
            <b/>
            <sz val="9"/>
            <color indexed="81"/>
            <rFont val="Tahoma"/>
            <family val="2"/>
          </rPr>
          <t xml:space="preserve"> /10
</t>
        </r>
        <r>
          <rPr>
            <b/>
            <sz val="9"/>
            <color indexed="81"/>
            <rFont val="돋움"/>
            <family val="3"/>
            <charset val="129"/>
          </rPr>
          <t>하지만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버프라면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유지되므로</t>
        </r>
        <r>
          <rPr>
            <b/>
            <sz val="9"/>
            <color indexed="81"/>
            <rFont val="Tahoma"/>
            <family val="2"/>
          </rPr>
          <t xml:space="preserve"> /2</t>
        </r>
        <r>
          <rPr>
            <b/>
            <sz val="9"/>
            <color indexed="81"/>
            <rFont val="돋움"/>
            <family val="3"/>
            <charset val="129"/>
          </rPr>
          <t xml:space="preserve">정도
</t>
        </r>
      </text>
    </comment>
  </commentList>
</comments>
</file>

<file path=xl/sharedStrings.xml><?xml version="1.0" encoding="utf-8"?>
<sst xmlns="http://schemas.openxmlformats.org/spreadsheetml/2006/main" count="1148" uniqueCount="478">
  <si>
    <t>창병</t>
    <phoneticPr fontId="1" type="noConversion"/>
  </si>
  <si>
    <t>근접공격력</t>
    <phoneticPr fontId="1" type="noConversion"/>
  </si>
  <si>
    <t>원거리공격력</t>
    <phoneticPr fontId="1" type="noConversion"/>
  </si>
  <si>
    <t>방어력</t>
    <phoneticPr fontId="1" type="noConversion"/>
  </si>
  <si>
    <t>체력</t>
    <phoneticPr fontId="1" type="noConversion"/>
  </si>
  <si>
    <t>공격속도</t>
    <phoneticPr fontId="1" type="noConversion"/>
  </si>
  <si>
    <t>이동속도</t>
    <phoneticPr fontId="1" type="noConversion"/>
  </si>
  <si>
    <t>타천사</t>
    <phoneticPr fontId="1" type="noConversion"/>
  </si>
  <si>
    <t>유닛수</t>
    <phoneticPr fontId="1" type="noConversion"/>
  </si>
  <si>
    <t>부대공격력</t>
    <phoneticPr fontId="1" type="noConversion"/>
  </si>
  <si>
    <t>부대 dps</t>
    <phoneticPr fontId="1" type="noConversion"/>
  </si>
  <si>
    <t>부대방어력</t>
    <phoneticPr fontId="1" type="noConversion"/>
  </si>
  <si>
    <t>부대체력</t>
    <phoneticPr fontId="1" type="noConversion"/>
  </si>
  <si>
    <t>1라운드</t>
    <phoneticPr fontId="1" type="noConversion"/>
  </si>
  <si>
    <t>공격력</t>
    <phoneticPr fontId="1" type="noConversion"/>
  </si>
  <si>
    <t>2라운드</t>
    <phoneticPr fontId="1" type="noConversion"/>
  </si>
  <si>
    <t>0.0sec</t>
    <phoneticPr fontId="1" type="noConversion"/>
  </si>
  <si>
    <t>1.0sec</t>
    <phoneticPr fontId="1" type="noConversion"/>
  </si>
  <si>
    <t>3라운드</t>
    <phoneticPr fontId="1" type="noConversion"/>
  </si>
  <si>
    <t>2.0sec</t>
    <phoneticPr fontId="1" type="noConversion"/>
  </si>
  <si>
    <t>4라운드</t>
    <phoneticPr fontId="1" type="noConversion"/>
  </si>
  <si>
    <t>3.0sec</t>
    <phoneticPr fontId="1" type="noConversion"/>
  </si>
  <si>
    <t>5라운드</t>
    <phoneticPr fontId="1" type="noConversion"/>
  </si>
  <si>
    <t>4.0sec</t>
    <phoneticPr fontId="1" type="noConversion"/>
  </si>
  <si>
    <t>6라운드</t>
    <phoneticPr fontId="1" type="noConversion"/>
  </si>
  <si>
    <t>5.0sec</t>
    <phoneticPr fontId="1" type="noConversion"/>
  </si>
  <si>
    <t>7라운드</t>
    <phoneticPr fontId="1" type="noConversion"/>
  </si>
  <si>
    <t>6.0sec</t>
    <phoneticPr fontId="1" type="noConversion"/>
  </si>
  <si>
    <t>8라운드</t>
    <phoneticPr fontId="1" type="noConversion"/>
  </si>
  <si>
    <t>7.0sec</t>
    <phoneticPr fontId="1" type="noConversion"/>
  </si>
  <si>
    <t>9라운드</t>
    <phoneticPr fontId="1" type="noConversion"/>
  </si>
  <si>
    <t>8.0sec</t>
    <phoneticPr fontId="1" type="noConversion"/>
  </si>
  <si>
    <t>10라운드</t>
    <phoneticPr fontId="1" type="noConversion"/>
  </si>
  <si>
    <t>9.0sec</t>
    <phoneticPr fontId="1" type="noConversion"/>
  </si>
  <si>
    <t>미노</t>
    <phoneticPr fontId="1" type="noConversion"/>
  </si>
  <si>
    <t>골렘</t>
    <phoneticPr fontId="1" type="noConversion"/>
  </si>
  <si>
    <t>미노타우르스</t>
    <phoneticPr fontId="1" type="noConversion"/>
  </si>
  <si>
    <t>궁수</t>
    <phoneticPr fontId="1" type="noConversion"/>
  </si>
  <si>
    <t>팔라딘</t>
    <phoneticPr fontId="1" type="noConversion"/>
  </si>
  <si>
    <t>라이칸</t>
    <phoneticPr fontId="1" type="noConversion"/>
  </si>
  <si>
    <t>사이클롭스</t>
    <phoneticPr fontId="1" type="noConversion"/>
  </si>
  <si>
    <t>앤트</t>
    <phoneticPr fontId="1" type="noConversion"/>
  </si>
  <si>
    <t>부대dps</t>
    <phoneticPr fontId="1" type="noConversion"/>
  </si>
  <si>
    <t>A팀 유닛</t>
    <phoneticPr fontId="1" type="noConversion"/>
  </si>
  <si>
    <t>라운드</t>
    <phoneticPr fontId="1" type="noConversion"/>
  </si>
  <si>
    <t>B팀유닛</t>
    <phoneticPr fontId="1" type="noConversion"/>
  </si>
  <si>
    <t>유닛dps</t>
    <phoneticPr fontId="1" type="noConversion"/>
  </si>
  <si>
    <t>크기</t>
    <phoneticPr fontId="1" type="noConversion"/>
  </si>
  <si>
    <t>병과</t>
    <phoneticPr fontId="1" type="noConversion"/>
  </si>
  <si>
    <t>소</t>
    <phoneticPr fontId="1" type="noConversion"/>
  </si>
  <si>
    <t>중</t>
    <phoneticPr fontId="1" type="noConversion"/>
  </si>
  <si>
    <t>대</t>
    <phoneticPr fontId="1" type="noConversion"/>
  </si>
  <si>
    <t>근</t>
    <phoneticPr fontId="1" type="noConversion"/>
  </si>
  <si>
    <t>원</t>
    <phoneticPr fontId="1" type="noConversion"/>
  </si>
  <si>
    <t>스</t>
    <phoneticPr fontId="1" type="noConversion"/>
  </si>
  <si>
    <t>유닛명</t>
    <phoneticPr fontId="7" type="noConversion"/>
  </si>
  <si>
    <t>이기는 것</t>
    <phoneticPr fontId="7" type="noConversion"/>
  </si>
  <si>
    <t>라운드 수</t>
    <phoneticPr fontId="7" type="noConversion"/>
  </si>
  <si>
    <t>지는 것</t>
    <phoneticPr fontId="7" type="noConversion"/>
  </si>
  <si>
    <t>창병</t>
    <phoneticPr fontId="7" type="noConversion"/>
  </si>
  <si>
    <t>팔라딘</t>
    <phoneticPr fontId="7" type="noConversion"/>
  </si>
  <si>
    <t>궁수</t>
    <phoneticPr fontId="7" type="noConversion"/>
  </si>
  <si>
    <t>라이칸</t>
    <phoneticPr fontId="7" type="noConversion"/>
  </si>
  <si>
    <t>미노타우르스</t>
    <phoneticPr fontId="7" type="noConversion"/>
  </si>
  <si>
    <t>골렘</t>
    <phoneticPr fontId="7" type="noConversion"/>
  </si>
  <si>
    <t>사이클롭스</t>
    <phoneticPr fontId="7" type="noConversion"/>
  </si>
  <si>
    <t>타천사</t>
    <phoneticPr fontId="7" type="noConversion"/>
  </si>
  <si>
    <t>앤트</t>
    <phoneticPr fontId="7" type="noConversion"/>
  </si>
  <si>
    <t>창병</t>
  </si>
  <si>
    <t>미노타우르스</t>
  </si>
  <si>
    <t>유닛별 천적</t>
    <phoneticPr fontId="1" type="noConversion"/>
  </si>
  <si>
    <t>궁수</t>
  </si>
  <si>
    <t>팔라딘</t>
  </si>
  <si>
    <t>사이클롭스</t>
  </si>
  <si>
    <t>라이칸</t>
  </si>
  <si>
    <t>초(sec)</t>
    <phoneticPr fontId="7" type="noConversion"/>
  </si>
  <si>
    <t>궁수</t>
    <phoneticPr fontId="1" type="noConversion"/>
  </si>
  <si>
    <t>컨셉</t>
    <phoneticPr fontId="1" type="noConversion"/>
  </si>
  <si>
    <t>타수</t>
    <phoneticPr fontId="1" type="noConversion"/>
  </si>
  <si>
    <t>시간</t>
    <phoneticPr fontId="1" type="noConversion"/>
  </si>
  <si>
    <t>* 방어도를 즉치로 빼면…</t>
    <phoneticPr fontId="1" type="noConversion"/>
  </si>
  <si>
    <t>방어도가 높은 대형유닛이 소형유닛에게 잘버티게 된다.</t>
    <phoneticPr fontId="1" type="noConversion"/>
  </si>
  <si>
    <t>반대로 한방데미지가 큰 대형유닛이 방어도가 낮은 소형유닛을 때리게 되면 데미지 감소율이 극히 미미해져서 100%에 가까운 데미지가 들어가게 된다.</t>
    <phoneticPr fontId="1" type="noConversion"/>
  </si>
  <si>
    <t>대형이 방어도가 비슷한 중형을 때리게 되면 중형이 대형을 때릴때 데미지 감소율보다 적어서 대형이 유리하게 된다.</t>
    <phoneticPr fontId="1" type="noConversion"/>
  </si>
  <si>
    <t>타천-&gt;라이칸</t>
    <phoneticPr fontId="1" type="noConversion"/>
  </si>
  <si>
    <t>라이칸-&gt;타천</t>
    <phoneticPr fontId="1" type="noConversion"/>
  </si>
  <si>
    <t>1000데미지 - 방어도 100</t>
    <phoneticPr fontId="1" type="noConversion"/>
  </si>
  <si>
    <t>200데미지 - 방어도 100</t>
    <phoneticPr fontId="1" type="noConversion"/>
  </si>
  <si>
    <t>*방어도를 비율로 빼면…</t>
    <phoneticPr fontId="1" type="noConversion"/>
  </si>
  <si>
    <t>한방이 큰 대형유닛들의 데미지가 더 많이 깎이게 된다.</t>
    <phoneticPr fontId="1" type="noConversion"/>
  </si>
  <si>
    <t>데미지</t>
    <phoneticPr fontId="1" type="noConversion"/>
  </si>
  <si>
    <t>공격력</t>
    <phoneticPr fontId="1" type="noConversion"/>
  </si>
  <si>
    <t>방어율</t>
    <phoneticPr fontId="1" type="noConversion"/>
  </si>
  <si>
    <t>감소량</t>
    <phoneticPr fontId="1" type="noConversion"/>
  </si>
  <si>
    <t>부대데미지</t>
    <phoneticPr fontId="1" type="noConversion"/>
  </si>
  <si>
    <t>체력</t>
    <phoneticPr fontId="1" type="noConversion"/>
  </si>
  <si>
    <t>전체타수</t>
    <phoneticPr fontId="1" type="noConversion"/>
  </si>
  <si>
    <t>라운드</t>
    <phoneticPr fontId="1" type="noConversion"/>
  </si>
  <si>
    <t>승리</t>
    <phoneticPr fontId="1" type="noConversion"/>
  </si>
  <si>
    <t xml:space="preserve">타천사가 라이칸을 공격할때는 타천사의 낮은 방어율에서는 계속 지다가 </t>
    <phoneticPr fontId="1" type="noConversion"/>
  </si>
  <si>
    <t>방어율이 35%를 넘어가는 시점부터 타전사가 이기기 시작한다.</t>
    <phoneticPr fontId="1" type="noConversion"/>
  </si>
  <si>
    <t>방어도</t>
    <phoneticPr fontId="1" type="noConversion"/>
  </si>
  <si>
    <t>타천사의 방어도가 증가할수록 라이칸의 데미지 감소량이 많아져 타천사가 유리해진다.</t>
    <phoneticPr fontId="1" type="noConversion"/>
  </si>
  <si>
    <t>즉치로 빼는 타입은 대형을 상대할때 소형보다는 중형이 유리하다</t>
    <phoneticPr fontId="1" type="noConversion"/>
  </si>
  <si>
    <t>비율로 빼는 타입은 중형보다는 소형이 유리하다</t>
    <phoneticPr fontId="1" type="noConversion"/>
  </si>
  <si>
    <t>*주 데미지 딜러는 원거리유닛.</t>
    <phoneticPr fontId="1" type="noConversion"/>
  </si>
  <si>
    <t>*원거리 유닛들은 근접되어 싸우면 상성에 관계없이 무조건 진다. 그러나 원거리공격만 하면 최고의 데미지딜러가 되어야 한다.</t>
    <phoneticPr fontId="1" type="noConversion"/>
  </si>
  <si>
    <t>*근접은 원거리에게 달라붙는 스피드유닛을 막기위한 용도</t>
    <phoneticPr fontId="1" type="noConversion"/>
  </si>
  <si>
    <t>* 스피드와 근접이 맞붙어 싸울땐 근접이 이기도록 해야 한다.</t>
    <phoneticPr fontId="1" type="noConversion"/>
  </si>
  <si>
    <t>*스피드 유닛은 부 데미지 딜러</t>
    <phoneticPr fontId="1" type="noConversion"/>
  </si>
  <si>
    <t>*근접의 탱킹만 있다면 스피드 유닛은 원거리유닛에 근접하는 딜링능력을 가짐</t>
    <phoneticPr fontId="1" type="noConversion"/>
  </si>
  <si>
    <t>*그러나 공속은 유닛크기에 비례한다.</t>
    <phoneticPr fontId="1" type="noConversion"/>
  </si>
  <si>
    <t>*미노는 근접유닛중 딜링능력이 가장 우수</t>
    <phoneticPr fontId="1" type="noConversion"/>
  </si>
  <si>
    <t>*골렘은 특성상 방어도가 매우 강해서 한방데미지가 큰 타천사나 미노등의 공격에 잘 버팀</t>
    <phoneticPr fontId="1" type="noConversion"/>
  </si>
  <si>
    <t>*유닛의 크기와 방어도의 강도는 무관. 대중소는 단지 크기만 의미하는것일뿐 장갑의 두께를 의미하진 않는다.</t>
    <phoneticPr fontId="1" type="noConversion"/>
  </si>
  <si>
    <t>팔라딘</t>
    <phoneticPr fontId="1" type="noConversion"/>
  </si>
  <si>
    <t>*데미지 딜링능력은 원거리 &gt; 스피드 &gt; 근접 이다. 그러므로 부대DPS도 여기에 맞춘다.</t>
    <phoneticPr fontId="1" type="noConversion"/>
  </si>
  <si>
    <t>영웅스탯</t>
    <phoneticPr fontId="7" type="noConversion"/>
  </si>
  <si>
    <t>유닛수</t>
    <phoneticPr fontId="7" type="noConversion"/>
  </si>
  <si>
    <t>영웅DPS</t>
    <phoneticPr fontId="7" type="noConversion"/>
  </si>
  <si>
    <t>부대dps</t>
    <phoneticPr fontId="7" type="noConversion"/>
  </si>
  <si>
    <t>영웅방어력</t>
    <phoneticPr fontId="1" type="noConversion"/>
  </si>
  <si>
    <t>10%증폭</t>
    <phoneticPr fontId="1" type="noConversion"/>
  </si>
  <si>
    <t>부대체력</t>
    <phoneticPr fontId="1" type="noConversion"/>
  </si>
  <si>
    <t>증폭율</t>
    <phoneticPr fontId="1" type="noConversion"/>
  </si>
  <si>
    <t>배수상수</t>
    <phoneticPr fontId="7" type="noConversion"/>
  </si>
  <si>
    <t>*영웅dps=부대dps/3</t>
    <phoneticPr fontId="1" type="noConversion"/>
  </si>
  <si>
    <t>*영웅공격력=부대dps*유닛공속</t>
    <phoneticPr fontId="1" type="noConversion"/>
  </si>
  <si>
    <t>영웅공격력 구하기</t>
    <phoneticPr fontId="1" type="noConversion"/>
  </si>
  <si>
    <t>영웅체력구하기</t>
    <phoneticPr fontId="1" type="noConversion"/>
  </si>
  <si>
    <t>*부대체력=유닛체력*영웅증폭치*유닛수</t>
    <phoneticPr fontId="1" type="noConversion"/>
  </si>
  <si>
    <t>*영웅체력=부대체력/3</t>
    <phoneticPr fontId="1" type="noConversion"/>
  </si>
  <si>
    <t>영웅방어력 구하기</t>
    <phoneticPr fontId="1" type="noConversion"/>
  </si>
  <si>
    <t>*영웅방어력=유닛방어력*영웅증폭율*3배수</t>
    <phoneticPr fontId="1" type="noConversion"/>
  </si>
  <si>
    <t>*부대dps=(유닛공격력/유닛공속*유닛수) * 영웅증폭치</t>
    <phoneticPr fontId="1" type="noConversion"/>
  </si>
  <si>
    <t>dps</t>
    <phoneticPr fontId="1" type="noConversion"/>
  </si>
  <si>
    <t>영웅의 공속은 증폭되지 않음</t>
    <phoneticPr fontId="1" type="noConversion"/>
  </si>
  <si>
    <t>영웅의이속 구하기</t>
    <phoneticPr fontId="1" type="noConversion"/>
  </si>
  <si>
    <t>*영웅(유닛)이속 = 유닛이속 * 영웅증폭율</t>
    <phoneticPr fontId="1" type="noConversion"/>
  </si>
  <si>
    <t>*원거리유닛은 타겟부대가 아군부대와 붙어있으면 원거리공격이 불가능하고 근접공격으로 전환된다.</t>
    <phoneticPr fontId="1" type="noConversion"/>
  </si>
  <si>
    <t>*원거리유닛이 근접전중이라도 강제로 다른 부대를 지정하면 공격대상을 바꿔 원거리 공격으로 한다.</t>
    <phoneticPr fontId="1" type="noConversion"/>
  </si>
  <si>
    <t>매칭점수</t>
  </si>
  <si>
    <t>내점수 +- x점</t>
  </si>
  <si>
    <t>매칭점수 = (레벨 * 비율) + (전투력 * 비율) 일단 50:50부터 시작</t>
  </si>
  <si>
    <t>전투력 = 메인 군단의 각부대 전투력 합산. 만약 고의로 부대를 빼더라도 모자라는 부분은 팀내 가장 높은 레벨의 능력으로 자동으로 채워져 어뷰징을 방지한다.</t>
  </si>
  <si>
    <t>DPS(초당데미지) = 공격력 * 공격속도</t>
  </si>
  <si>
    <t>데미지1당 10점씩</t>
  </si>
  <si>
    <t>방어력</t>
  </si>
  <si>
    <t>방어력1%당 10점씩</t>
  </si>
  <si>
    <t>체력</t>
  </si>
  <si>
    <t>체력1당 10점씩</t>
  </si>
  <si>
    <t>이동속도</t>
  </si>
  <si>
    <t>이속1%당 1점씩</t>
  </si>
  <si>
    <t>전투력 = (군주레벨전투력 *비율) + (군단전투력 * 비율)</t>
  </si>
  <si>
    <t>군주레벨1당 전투력상승치는?</t>
  </si>
  <si>
    <t>군주레벨의 전투력 상승요소</t>
  </si>
  <si>
    <t>최대 부대수</t>
  </si>
  <si>
    <t>영웅의 레벨</t>
  </si>
  <si>
    <t>부대레벨</t>
    <phoneticPr fontId="1" type="noConversion"/>
  </si>
  <si>
    <t>스킬레벨</t>
    <phoneticPr fontId="1" type="noConversion"/>
  </si>
  <si>
    <t>스킬레벨 * 상수</t>
    <phoneticPr fontId="1" type="noConversion"/>
  </si>
  <si>
    <t>군주레벨</t>
    <phoneticPr fontId="1" type="noConversion"/>
  </si>
  <si>
    <t>영웅레벨</t>
    <phoneticPr fontId="1" type="noConversion"/>
  </si>
  <si>
    <t>분대수</t>
    <phoneticPr fontId="1" type="noConversion"/>
  </si>
  <si>
    <t>최대전투력</t>
    <phoneticPr fontId="1" type="noConversion"/>
  </si>
  <si>
    <t>스탯은 유닛을 뭘로 선택하느냐에 따라 달라질수 있다. 특히 대형유닛은 밸런스상 공격력을 크게 할수 도 있으므로 오류가 생긴다. 유닛의 종류에 관계없이 표준화된 수치가 나와야 한다.</t>
    <phoneticPr fontId="1" type="noConversion"/>
  </si>
  <si>
    <t>그러자면 스탯의 값은 버리고 얼마나 잘 개발이 되어있느냐로 판단해야 한다. 부대레벨, 스킬레벨, 영웅레벨, 특성치찍은 수, 무기/방어구 개수와 등급</t>
    <phoneticPr fontId="1" type="noConversion"/>
  </si>
  <si>
    <t>부대레벨</t>
    <phoneticPr fontId="1" type="noConversion"/>
  </si>
  <si>
    <t>스킬레벨</t>
    <phoneticPr fontId="1" type="noConversion"/>
  </si>
  <si>
    <t>영웅레벨</t>
    <phoneticPr fontId="1" type="noConversion"/>
  </si>
  <si>
    <t>특성치찍은 수</t>
    <phoneticPr fontId="1" type="noConversion"/>
  </si>
  <si>
    <t>장비 개수</t>
    <phoneticPr fontId="1" type="noConversion"/>
  </si>
  <si>
    <t>장비 등급</t>
    <phoneticPr fontId="1" type="noConversion"/>
  </si>
  <si>
    <t>각 단위레벨당 점수는?</t>
    <phoneticPr fontId="1" type="noConversion"/>
  </si>
  <si>
    <t>4성</t>
    <phoneticPr fontId="1" type="noConversion"/>
  </si>
  <si>
    <t>1성</t>
    <phoneticPr fontId="1" type="noConversion"/>
  </si>
  <si>
    <t>배수</t>
    <phoneticPr fontId="1" type="noConversion"/>
  </si>
  <si>
    <t>점수</t>
    <phoneticPr fontId="1" type="noConversion"/>
  </si>
  <si>
    <t>영웅등급1</t>
    <phoneticPr fontId="1" type="noConversion"/>
  </si>
  <si>
    <t>영웅등급2</t>
  </si>
  <si>
    <t>영웅등급3</t>
  </si>
  <si>
    <t>영웅등급4</t>
  </si>
  <si>
    <t>4성</t>
    <phoneticPr fontId="1" type="noConversion"/>
  </si>
  <si>
    <t>1성</t>
    <phoneticPr fontId="1" type="noConversion"/>
  </si>
  <si>
    <t>영웅레벨</t>
    <phoneticPr fontId="1" type="noConversion"/>
  </si>
  <si>
    <t>4성영웅이 64렙이 된다면 1성1렙영웅2명에 맞먹는힘을 가지게 된다.</t>
    <phoneticPr fontId="1" type="noConversion"/>
  </si>
  <si>
    <t>영웅전투력 = 10000(영웅1명기본점수)+(영웅레벨 * 100) * 등급상수</t>
    <phoneticPr fontId="1" type="noConversion"/>
  </si>
  <si>
    <t>배 증가</t>
    <phoneticPr fontId="1" type="noConversion"/>
  </si>
  <si>
    <t>전투력증가치</t>
    <phoneticPr fontId="1" type="noConversion"/>
  </si>
  <si>
    <t>1성영웅</t>
    <phoneticPr fontId="1" type="noConversion"/>
  </si>
  <si>
    <t>4성영웅</t>
    <phoneticPr fontId="1" type="noConversion"/>
  </si>
  <si>
    <t>병사수</t>
    <phoneticPr fontId="1" type="noConversion"/>
  </si>
  <si>
    <t>부대레벨</t>
    <phoneticPr fontId="1" type="noConversion"/>
  </si>
  <si>
    <t>증가치</t>
    <phoneticPr fontId="1" type="noConversion"/>
  </si>
  <si>
    <t>부대dps</t>
    <phoneticPr fontId="1" type="noConversion"/>
  </si>
  <si>
    <t xml:space="preserve">4성기준 레벨1당 스탯의 1.6%가량이 상승한다. </t>
    <phoneticPr fontId="1" type="noConversion"/>
  </si>
  <si>
    <t xml:space="preserve"> 1%상승시</t>
    <phoneticPr fontId="1" type="noConversion"/>
  </si>
  <si>
    <t>1레벨 1성영웅 2명이 각 5명씩을 끌고 있다. dps의 차이는?</t>
    <phoneticPr fontId="1" type="noConversion"/>
  </si>
  <si>
    <t xml:space="preserve">1레벨 1성영웅 1명이 10명을 끌고 있다. </t>
    <phoneticPr fontId="1" type="noConversion"/>
  </si>
  <si>
    <t>(10,000+2000)+(10,000+2000)</t>
    <phoneticPr fontId="1" type="noConversion"/>
  </si>
  <si>
    <t>10,000 + 2000*5</t>
    <phoneticPr fontId="1" type="noConversion"/>
  </si>
  <si>
    <t>부대전투력=((부대레벨-1)*2000)*영웅배수</t>
    <phoneticPr fontId="1" type="noConversion"/>
  </si>
  <si>
    <t>1성1렙 부대레벨1</t>
    <phoneticPr fontId="1" type="noConversion"/>
  </si>
  <si>
    <t>1성10렙 부대레벨1</t>
    <phoneticPr fontId="1" type="noConversion"/>
  </si>
  <si>
    <t>10,000점</t>
    <phoneticPr fontId="1" type="noConversion"/>
  </si>
  <si>
    <t>유닛dps</t>
    <phoneticPr fontId="1" type="noConversion"/>
  </si>
  <si>
    <t>영웅레벨</t>
    <phoneticPr fontId="1" type="noConversion"/>
  </si>
  <si>
    <t>unit dps</t>
    <phoneticPr fontId="1" type="noConversion"/>
  </si>
  <si>
    <t>4성</t>
    <phoneticPr fontId="1" type="noConversion"/>
  </si>
  <si>
    <t>1성</t>
    <phoneticPr fontId="1" type="noConversion"/>
  </si>
  <si>
    <t>3성</t>
  </si>
  <si>
    <t>3성</t>
    <phoneticPr fontId="1" type="noConversion"/>
  </si>
  <si>
    <t>2성</t>
  </si>
  <si>
    <t>1성</t>
  </si>
  <si>
    <t>배수</t>
    <phoneticPr fontId="1" type="noConversion"/>
  </si>
  <si>
    <t>병사수/성장치</t>
    <phoneticPr fontId="1" type="noConversion"/>
  </si>
  <si>
    <t>병사수/성장치</t>
    <phoneticPr fontId="1" type="noConversion"/>
  </si>
  <si>
    <t>1성</t>
    <phoneticPr fontId="1" type="noConversion"/>
  </si>
  <si>
    <t>점수 매트릭스</t>
    <phoneticPr fontId="1" type="noConversion"/>
  </si>
  <si>
    <t>4성</t>
  </si>
  <si>
    <t>4성</t>
    <phoneticPr fontId="1" type="noConversion"/>
  </si>
  <si>
    <t>영웅의 레벨과 부대레벨간의 점수</t>
    <phoneticPr fontId="1" type="noConversion"/>
  </si>
  <si>
    <t>영웅제한렙때문에 생길수가 없는영역</t>
    <phoneticPr fontId="1" type="noConversion"/>
  </si>
  <si>
    <t>스킬레벨</t>
    <phoneticPr fontId="1" type="noConversion"/>
  </si>
  <si>
    <t>30~50%?</t>
    <phoneticPr fontId="1" type="noConversion"/>
  </si>
  <si>
    <t>영웅의 스킬데미지(혹은 능력)가 전체 딜량에서 차지하는 적당한 비율은?</t>
    <phoneticPr fontId="1" type="noConversion"/>
  </si>
  <si>
    <t>데미지형태의 스킬은 개인공격력이 아니라 부대공격력의 n%와같은식이 되어야 한다.</t>
    <phoneticPr fontId="1" type="noConversion"/>
  </si>
  <si>
    <t>그렇지 않으면 부대레벨이 점차 올라감에 따라 스킬의 효용성이 떨어진다.</t>
    <phoneticPr fontId="1" type="noConversion"/>
  </si>
  <si>
    <t>기본점수 = 스킬1레벨은 기본으로 있으므로 1레벨에 해당하는 능력치를 계산하여 점수로 환산한다.</t>
    <phoneticPr fontId="1" type="noConversion"/>
  </si>
  <si>
    <t>스킬1~10렙까지 능력치 증가량은 얼마씩 증가할것인가</t>
    <phoneticPr fontId="1" type="noConversion"/>
  </si>
  <si>
    <t>스킬1렙의 점수는?</t>
    <phoneticPr fontId="1" type="noConversion"/>
  </si>
  <si>
    <t>스킬1렙: 부대전체능력치의:10% ~ 스킬10렙: 30%</t>
    <phoneticPr fontId="1" type="noConversion"/>
  </si>
  <si>
    <t>부대레벨</t>
    <phoneticPr fontId="1" type="noConversion"/>
  </si>
  <si>
    <t>스킬데미지 변화량</t>
    <phoneticPr fontId="1" type="noConversion"/>
  </si>
  <si>
    <t>부대dps</t>
    <phoneticPr fontId="1" type="noConversion"/>
  </si>
  <si>
    <t>능력치</t>
    <phoneticPr fontId="1" type="noConversion"/>
  </si>
  <si>
    <t>스킬레벨점수 : 부대점수 * (0.1 + (스킬레벨 * 0.02))</t>
    <phoneticPr fontId="1" type="noConversion"/>
  </si>
  <si>
    <t>DPS변화량</t>
    <phoneticPr fontId="1" type="noConversion"/>
  </si>
  <si>
    <t>1렙영웅의 경우스킬점수 변화</t>
    <phoneticPr fontId="1" type="noConversion"/>
  </si>
  <si>
    <t>부대의 전투력 = (2000 * (base_stat + 영웅등급별_스탯증가량 * (영웅레벨-1))) * (부대레벨+4)</t>
    <phoneticPr fontId="1" type="noConversion"/>
  </si>
  <si>
    <t>특성치 점수</t>
    <phoneticPr fontId="1" type="noConversion"/>
  </si>
  <si>
    <t>0~30%</t>
    <phoneticPr fontId="1" type="noConversion"/>
  </si>
  <si>
    <t>찍은특성 전체가 차지하는 전체딜량에서의 비율</t>
    <phoneticPr fontId="1" type="noConversion"/>
  </si>
  <si>
    <t>총 25포인트</t>
    <phoneticPr fontId="1" type="noConversion"/>
  </si>
  <si>
    <t>포인트</t>
    <phoneticPr fontId="1" type="noConversion"/>
  </si>
  <si>
    <t>전체 전투력에서의 비율</t>
    <phoneticPr fontId="1" type="noConversion"/>
  </si>
  <si>
    <t>특성전투력비율 = 찍은특성포인트개수 * 0.013</t>
    <phoneticPr fontId="1" type="noConversion"/>
  </si>
  <si>
    <t>전체 딜량에서 각각의 비율</t>
    <phoneticPr fontId="1" type="noConversion"/>
  </si>
  <si>
    <t>10의 데미지에 스킬버프+30%가 더해져 13의 데미지</t>
    <phoneticPr fontId="1" type="noConversion"/>
  </si>
  <si>
    <t>13데미지의 30%</t>
    <phoneticPr fontId="1" type="noConversion"/>
  </si>
  <si>
    <t>최대</t>
    <phoneticPr fontId="1" type="noConversion"/>
  </si>
  <si>
    <t>전투력상수</t>
    <phoneticPr fontId="1" type="noConversion"/>
  </si>
  <si>
    <t>전투력</t>
    <phoneticPr fontId="1" type="noConversion"/>
  </si>
  <si>
    <t>영웅레벨</t>
    <phoneticPr fontId="1" type="noConversion"/>
  </si>
  <si>
    <t>스킬레벨</t>
    <phoneticPr fontId="1" type="noConversion"/>
  </si>
  <si>
    <t>특성치 개수</t>
    <phoneticPr fontId="1" type="noConversion"/>
  </si>
  <si>
    <t>장비점수</t>
    <phoneticPr fontId="1" type="noConversion"/>
  </si>
  <si>
    <t>2성</t>
    <phoneticPr fontId="1" type="noConversion"/>
  </si>
  <si>
    <t>5성</t>
  </si>
  <si>
    <t>무기템의 등급별 표준 증폭량</t>
    <phoneticPr fontId="1" type="noConversion"/>
  </si>
  <si>
    <t>머리/가슴/다리 각각 5성템으로 하면 원래체력의 100%가 상승</t>
    <phoneticPr fontId="1" type="noConversion"/>
  </si>
  <si>
    <t>부위별</t>
    <phoneticPr fontId="1" type="noConversion"/>
  </si>
  <si>
    <t>3부위 장비템의 등급별 표준 증폭량</t>
    <phoneticPr fontId="1" type="noConversion"/>
  </si>
  <si>
    <t>각 증폭치</t>
    <phoneticPr fontId="1" type="noConversion"/>
  </si>
  <si>
    <t>유닛전투력</t>
    <phoneticPr fontId="1" type="noConversion"/>
  </si>
  <si>
    <t>영웅</t>
    <phoneticPr fontId="1" type="noConversion"/>
  </si>
  <si>
    <t>x아이템(5성)</t>
    <phoneticPr fontId="1" type="noConversion"/>
  </si>
  <si>
    <t>x스킬버프(10렙)</t>
    <phoneticPr fontId="1" type="noConversion"/>
  </si>
  <si>
    <t>;+특성(25포인트)</t>
    <phoneticPr fontId="1" type="noConversion"/>
  </si>
  <si>
    <t>1성기준</t>
    <phoneticPr fontId="1" type="noConversion"/>
  </si>
  <si>
    <t>3성기준</t>
    <phoneticPr fontId="1" type="noConversion"/>
  </si>
  <si>
    <t>1성</t>
    <phoneticPr fontId="1" type="noConversion"/>
  </si>
  <si>
    <t>만렙스탯</t>
    <phoneticPr fontId="1" type="noConversion"/>
  </si>
  <si>
    <t>등급원칙</t>
    <phoneticPr fontId="1" type="noConversion"/>
  </si>
  <si>
    <t>1렙스탯</t>
    <phoneticPr fontId="1" type="noConversion"/>
  </si>
  <si>
    <t>등급별 표준 증가치</t>
    <phoneticPr fontId="1" type="noConversion"/>
  </si>
  <si>
    <t>배수검증</t>
    <phoneticPr fontId="1" type="noConversion"/>
  </si>
  <si>
    <t>배수검증</t>
    <phoneticPr fontId="1" type="noConversion"/>
  </si>
  <si>
    <t>1성증가할때마다 이전등급의 1.5배가 상승한다가 기본원칙</t>
    <phoneticPr fontId="1" type="noConversion"/>
  </si>
  <si>
    <t>영웅(5성,만렙)</t>
    <phoneticPr fontId="1" type="noConversion"/>
  </si>
  <si>
    <t>배</t>
    <phoneticPr fontId="1" type="noConversion"/>
  </si>
  <si>
    <t>최종전투력배수</t>
    <phoneticPr fontId="1" type="noConversion"/>
  </si>
  <si>
    <t>특성개수별 표준 증가량</t>
    <phoneticPr fontId="1" type="noConversion"/>
  </si>
  <si>
    <t>유닛 기본전투력</t>
    <phoneticPr fontId="1" type="noConversion"/>
  </si>
  <si>
    <t>영웅등급기본스탯</t>
    <phoneticPr fontId="1" type="noConversion"/>
  </si>
  <si>
    <t>영웅의 레벨과 부대레벨간의 전투력</t>
    <phoneticPr fontId="1" type="noConversion"/>
  </si>
  <si>
    <t>증가치</t>
    <phoneticPr fontId="1" type="noConversion"/>
  </si>
  <si>
    <t>스킬레벨</t>
    <phoneticPr fontId="1" type="noConversion"/>
  </si>
  <si>
    <t>4성</t>
    <phoneticPr fontId="1" type="noConversion"/>
  </si>
  <si>
    <t>부대1렙기준 스킬레벨에 따른 전투력 변화</t>
    <phoneticPr fontId="1" type="noConversion"/>
  </si>
  <si>
    <t>부대16렙기준 스킬레벨에 따른 전투력 변화</t>
    <phoneticPr fontId="1" type="noConversion"/>
  </si>
  <si>
    <t>이전레벨에 비한 증가치</t>
    <phoneticPr fontId="1" type="noConversion"/>
  </si>
  <si>
    <t>10초간 1000의 데미지를 준다</t>
    <phoneticPr fontId="1" type="noConversion"/>
  </si>
  <si>
    <t>유닛1명이 1초간격으로 100의 데미지를 주고 있다. dps는 100. 부대공격력은 100</t>
    <phoneticPr fontId="1" type="noConversion"/>
  </si>
  <si>
    <t>유닛dps</t>
    <phoneticPr fontId="1" type="noConversion"/>
  </si>
  <si>
    <t>영웅보정유닛dps</t>
    <phoneticPr fontId="1" type="noConversion"/>
  </si>
  <si>
    <t>부대dps</t>
    <phoneticPr fontId="1" type="noConversion"/>
  </si>
  <si>
    <t>부대공격력</t>
    <phoneticPr fontId="1" type="noConversion"/>
  </si>
  <si>
    <t>스킬데미지</t>
    <phoneticPr fontId="1" type="noConversion"/>
  </si>
  <si>
    <t>유닛5명이 1초간격으로 100의 데미지를 주고 있다. dps는 500. 부대공격력은 500</t>
    <phoneticPr fontId="1" type="noConversion"/>
  </si>
  <si>
    <t>10초간 5000의 데미지를 준다</t>
    <phoneticPr fontId="1" type="noConversion"/>
  </si>
  <si>
    <t>유닛6명이 1초간격으로 100의 데미지를 주고 있다. dps는 600. 부대공격력은 600</t>
    <phoneticPr fontId="1" type="noConversion"/>
  </si>
  <si>
    <t>10초간 6000의 데미지를 준다. 전체딜의 20%상승효과</t>
    <phoneticPr fontId="1" type="noConversion"/>
  </si>
  <si>
    <t>10초마다 스킬1렙이 부대공격력의 110%인 110의 데미지를 준다.  전체딜량의 약 10%. 스킬은 시작하자마자 한번더 쏘므로 결과적으로 220의 데미지를 줌</t>
    <phoneticPr fontId="1" type="noConversion"/>
  </si>
  <si>
    <t>10초마다 스킬2렙이 부대공격력의 110%인 550의 데미지를 준다.</t>
    <phoneticPr fontId="1" type="noConversion"/>
  </si>
  <si>
    <t>10초마다 스킬2렙이 부대공격력의 100%인 660의 데미지를 준다.</t>
    <phoneticPr fontId="1" type="noConversion"/>
  </si>
  <si>
    <t>10초마다 스킬2렙이 부대공격력의 112%인 560의 데미지를 준다.</t>
    <phoneticPr fontId="1" type="noConversion"/>
  </si>
  <si>
    <t>당초 전체딜량에서 10%~30%를 차지하게 한다는것에는 맞다</t>
    <phoneticPr fontId="1" type="noConversion"/>
  </si>
  <si>
    <t>그러나 부대1업하는것과 스킬1업하는것에는 큰차이가 있다</t>
    <phoneticPr fontId="1" type="noConversion"/>
  </si>
  <si>
    <t>훈련소를 같이 쓰고 있으므로 자원만 있다면 부대업글을 먼저하는게 좋다</t>
    <phoneticPr fontId="1" type="noConversion"/>
  </si>
  <si>
    <t>만약 부대업글 시간이 스킬업글의 10배라면?</t>
    <phoneticPr fontId="1" type="noConversion"/>
  </si>
  <si>
    <t>전투력 계산공식</t>
    <phoneticPr fontId="1" type="noConversion"/>
  </si>
  <si>
    <t>유닛 전투력 기본상수</t>
    <phoneticPr fontId="1" type="noConversion"/>
  </si>
  <si>
    <t>장신구 등급별 표준증폭량</t>
    <phoneticPr fontId="1" type="noConversion"/>
  </si>
  <si>
    <t>공격력</t>
    <phoneticPr fontId="1" type="noConversion"/>
  </si>
  <si>
    <t>방어력</t>
    <phoneticPr fontId="1" type="noConversion"/>
  </si>
  <si>
    <t>B = A * 등급별아이템 표준증폭량(무기/방어구3/장신구)</t>
    <phoneticPr fontId="1" type="noConversion"/>
  </si>
  <si>
    <t>A = 유닛전투력 기본상수 * 영웅레벨에 따른 스탯배수</t>
    <phoneticPr fontId="1" type="noConversion"/>
  </si>
  <si>
    <t>C = B * 특성개수별 표준증가량</t>
    <phoneticPr fontId="1" type="noConversion"/>
  </si>
  <si>
    <t>D = (C * 부대레벨표준 증가량)</t>
    <phoneticPr fontId="1" type="noConversion"/>
  </si>
  <si>
    <t>스킬레벨별 표준 증가량(부대딜량에서 차지하는 비율)</t>
    <phoneticPr fontId="1" type="noConversion"/>
  </si>
  <si>
    <t>E = D * 스킬레벨표준증가량</t>
    <phoneticPr fontId="1" type="noConversion"/>
  </si>
  <si>
    <t>최종 전투력 = E</t>
    <phoneticPr fontId="1" type="noConversion"/>
  </si>
  <si>
    <t>전투력계산용</t>
    <phoneticPr fontId="1" type="noConversion"/>
  </si>
  <si>
    <t>레벨별 최대전투력</t>
    <phoneticPr fontId="1" type="noConversion"/>
  </si>
  <si>
    <t>평균치</t>
    <phoneticPr fontId="1" type="noConversion"/>
  </si>
  <si>
    <t>골렘</t>
  </si>
  <si>
    <t>골렘</t>
    <phoneticPr fontId="1" type="noConversion"/>
  </si>
  <si>
    <t>창병</t>
    <phoneticPr fontId="1" type="noConversion"/>
  </si>
  <si>
    <t>골렘1</t>
  </si>
  <si>
    <t>창병1</t>
  </si>
  <si>
    <t>창병2</t>
  </si>
  <si>
    <t>창병3</t>
  </si>
  <si>
    <t>창병4</t>
  </si>
  <si>
    <t>창병5</t>
  </si>
  <si>
    <t>증폭치</t>
    <phoneticPr fontId="1" type="noConversion"/>
  </si>
  <si>
    <t>방어력</t>
    <phoneticPr fontId="1" type="noConversion"/>
  </si>
  <si>
    <t>공속</t>
    <phoneticPr fontId="1" type="noConversion"/>
  </si>
  <si>
    <t>이속</t>
    <phoneticPr fontId="1" type="noConversion"/>
  </si>
  <si>
    <t>근접공격력</t>
  </si>
  <si>
    <t>근접공격력</t>
    <phoneticPr fontId="1" type="noConversion"/>
  </si>
  <si>
    <t>원거리공격력</t>
  </si>
  <si>
    <t>원거리공격력</t>
    <phoneticPr fontId="1" type="noConversion"/>
  </si>
  <si>
    <t>1유닛dps(근)</t>
    <phoneticPr fontId="1" type="noConversion"/>
  </si>
  <si>
    <t>1유닛dps(원)</t>
    <phoneticPr fontId="1" type="noConversion"/>
  </si>
  <si>
    <t>공격력</t>
    <phoneticPr fontId="1" type="noConversion"/>
  </si>
  <si>
    <t>방어력</t>
    <phoneticPr fontId="1" type="noConversion"/>
  </si>
  <si>
    <t>체력</t>
    <phoneticPr fontId="1" type="noConversion"/>
  </si>
  <si>
    <t>공속</t>
    <phoneticPr fontId="1" type="noConversion"/>
  </si>
  <si>
    <t>이속</t>
    <phoneticPr fontId="1" type="noConversion"/>
  </si>
  <si>
    <t>변동범위</t>
    <phoneticPr fontId="1" type="noConversion"/>
  </si>
  <si>
    <t>최소</t>
    <phoneticPr fontId="1" type="noConversion"/>
  </si>
  <si>
    <t>최대</t>
    <phoneticPr fontId="1" type="noConversion"/>
  </si>
  <si>
    <t>2성</t>
    <phoneticPr fontId="1" type="noConversion"/>
  </si>
  <si>
    <t>1성</t>
    <phoneticPr fontId="1" type="noConversion"/>
  </si>
  <si>
    <t>1성</t>
    <phoneticPr fontId="1" type="noConversion"/>
  </si>
  <si>
    <t>2성</t>
    <phoneticPr fontId="1" type="noConversion"/>
  </si>
  <si>
    <t>3성</t>
    <phoneticPr fontId="1" type="noConversion"/>
  </si>
  <si>
    <t>4성</t>
    <phoneticPr fontId="1" type="noConversion"/>
  </si>
  <si>
    <t>5성</t>
    <phoneticPr fontId="1" type="noConversion"/>
  </si>
  <si>
    <t>A영웅</t>
    <phoneticPr fontId="1" type="noConversion"/>
  </si>
  <si>
    <t>B영웅</t>
    <phoneticPr fontId="1" type="noConversion"/>
  </si>
  <si>
    <t>탱커</t>
    <phoneticPr fontId="1" type="noConversion"/>
  </si>
  <si>
    <t>원거리</t>
    <phoneticPr fontId="1" type="noConversion"/>
  </si>
  <si>
    <t>스피드</t>
    <phoneticPr fontId="1" type="noConversion"/>
  </si>
  <si>
    <t>체력</t>
    <phoneticPr fontId="1" type="noConversion"/>
  </si>
  <si>
    <t>방어력</t>
    <phoneticPr fontId="1" type="noConversion"/>
  </si>
  <si>
    <t>공속</t>
    <phoneticPr fontId="1" type="noConversion"/>
  </si>
  <si>
    <t>표준스탯(UI용). 100을 기준</t>
    <phoneticPr fontId="1" type="noConversion"/>
  </si>
  <si>
    <t>공격력</t>
    <phoneticPr fontId="1" type="noConversion"/>
  </si>
  <si>
    <t>공격력</t>
    <phoneticPr fontId="1" type="noConversion"/>
  </si>
  <si>
    <t>B영웅</t>
    <phoneticPr fontId="1" type="noConversion"/>
  </si>
  <si>
    <t>C영웅</t>
    <phoneticPr fontId="1" type="noConversion"/>
  </si>
  <si>
    <t>A영웅</t>
    <phoneticPr fontId="1" type="noConversion"/>
  </si>
  <si>
    <t>C영웅</t>
    <phoneticPr fontId="1" type="noConversion"/>
  </si>
  <si>
    <t>예) 2성영웅의 유닛스탯 증폭치</t>
    <phoneticPr fontId="1" type="noConversion"/>
  </si>
  <si>
    <t>방어력</t>
    <phoneticPr fontId="1" type="noConversion"/>
  </si>
  <si>
    <t>합산</t>
    <phoneticPr fontId="1" type="noConversion"/>
  </si>
  <si>
    <t>배수</t>
    <phoneticPr fontId="1" type="noConversion"/>
  </si>
  <si>
    <t>공격속도</t>
  </si>
  <si>
    <t>크기</t>
  </si>
  <si>
    <t>병과</t>
  </si>
  <si>
    <t>소</t>
  </si>
  <si>
    <t>근</t>
  </si>
  <si>
    <t>원</t>
  </si>
  <si>
    <t>스</t>
  </si>
  <si>
    <t>중</t>
  </si>
  <si>
    <t>대</t>
  </si>
  <si>
    <t>앤트</t>
  </si>
  <si>
    <t>타천사</t>
  </si>
  <si>
    <t>배수</t>
    <phoneticPr fontId="1" type="noConversion"/>
  </si>
  <si>
    <t>대형</t>
    <phoneticPr fontId="1" type="noConversion"/>
  </si>
  <si>
    <t>소형유닛수</t>
    <phoneticPr fontId="1" type="noConversion"/>
  </si>
  <si>
    <t>중형배수</t>
    <phoneticPr fontId="1" type="noConversion"/>
  </si>
  <si>
    <t>골렘dps</t>
    <phoneticPr fontId="1" type="noConversion"/>
  </si>
  <si>
    <t>창병dps</t>
    <phoneticPr fontId="1" type="noConversion"/>
  </si>
  <si>
    <t>미노dps</t>
    <phoneticPr fontId="1" type="noConversion"/>
  </si>
  <si>
    <t>근공</t>
    <phoneticPr fontId="1" type="noConversion"/>
  </si>
  <si>
    <t>골렘레벨</t>
    <phoneticPr fontId="1" type="noConversion"/>
  </si>
  <si>
    <t>부대dps</t>
    <phoneticPr fontId="1" type="noConversion"/>
  </si>
  <si>
    <t>순위</t>
    <phoneticPr fontId="1" type="noConversion"/>
  </si>
  <si>
    <t>궁수</t>
    <phoneticPr fontId="1" type="noConversion"/>
  </si>
  <si>
    <t>라이칸</t>
    <phoneticPr fontId="1" type="noConversion"/>
  </si>
  <si>
    <t>타천</t>
    <phoneticPr fontId="1" type="noConversion"/>
  </si>
  <si>
    <t>창병</t>
    <phoneticPr fontId="1" type="noConversion"/>
  </si>
  <si>
    <t>*사이클롭(광역)</t>
    <phoneticPr fontId="1" type="noConversion"/>
  </si>
  <si>
    <t>체력</t>
    <phoneticPr fontId="1" type="noConversion"/>
  </si>
  <si>
    <t>방어력</t>
    <phoneticPr fontId="1" type="noConversion"/>
  </si>
  <si>
    <t>창병</t>
    <phoneticPr fontId="1" type="noConversion"/>
  </si>
  <si>
    <t>골렘</t>
    <phoneticPr fontId="1" type="noConversion"/>
  </si>
  <si>
    <t>창병</t>
    <phoneticPr fontId="1" type="noConversion"/>
  </si>
  <si>
    <t>미노</t>
    <phoneticPr fontId="1" type="noConversion"/>
  </si>
  <si>
    <t>타천</t>
    <phoneticPr fontId="1" type="noConversion"/>
  </si>
  <si>
    <t>궁수</t>
    <phoneticPr fontId="1" type="noConversion"/>
  </si>
  <si>
    <t>앤트</t>
    <phoneticPr fontId="1" type="noConversion"/>
  </si>
  <si>
    <t>사이클롭</t>
    <phoneticPr fontId="1" type="noConversion"/>
  </si>
  <si>
    <t>앤트</t>
    <phoneticPr fontId="1" type="noConversion"/>
  </si>
  <si>
    <t>사이클롭</t>
    <phoneticPr fontId="1" type="noConversion"/>
  </si>
  <si>
    <t>라이칸</t>
    <phoneticPr fontId="1" type="noConversion"/>
  </si>
  <si>
    <t>팔라/사이클롭</t>
    <phoneticPr fontId="1" type="noConversion"/>
  </si>
  <si>
    <t>사이클롭</t>
    <phoneticPr fontId="1" type="noConversion"/>
  </si>
  <si>
    <t>*크기상성도 마찬가지</t>
    <phoneticPr fontId="1" type="noConversion"/>
  </si>
  <si>
    <t>*우세면 +25%데미지, 열세면 -25%데미지. 우세유닛밸런스가 잘 안맞아서 우선 극단적인 룰을 적용함.</t>
    <phoneticPr fontId="1" type="noConversion"/>
  </si>
  <si>
    <t>*대형은 모든 소형유닛을 적은횟수의 타격으로 죽이지만 공속이 느리고 소형의 개체수가 많아 비효율적이다.</t>
    <phoneticPr fontId="1" type="noConversion"/>
  </si>
  <si>
    <t>*만렙부대레벨의 유닛수를 기준으로 스탯을 잡고 대형은 유닛1개뿐이므로 1.0이하의 배수를 곱해서 맞춰준다.</t>
    <phoneticPr fontId="1" type="noConversion"/>
  </si>
  <si>
    <t>합산</t>
    <phoneticPr fontId="1" type="noConversion"/>
  </si>
  <si>
    <t>창병합산</t>
    <phoneticPr fontId="1" type="noConversion"/>
  </si>
  <si>
    <t>미노합산</t>
    <phoneticPr fontId="1" type="noConversion"/>
  </si>
  <si>
    <t>영웅</t>
    <phoneticPr fontId="1" type="noConversion"/>
  </si>
  <si>
    <t>*대형부대영웅의 체력은 대형유닛의x0.25배 능력을 가진다.</t>
    <phoneticPr fontId="1" type="noConversion"/>
  </si>
  <si>
    <t>*중형부대영웅은 체력은 중형유닛의x1배 능력을 가진다</t>
    <phoneticPr fontId="1" type="noConversion"/>
  </si>
  <si>
    <t>*소형부대영웅은 체력은 소형유닛의x5배 능력을 가진다</t>
    <phoneticPr fontId="1" type="noConversion"/>
  </si>
  <si>
    <t>*대형부대영웅의 공격력은 대형유닛의x0.125배 능력을 가진다.</t>
    <phoneticPr fontId="1" type="noConversion"/>
  </si>
  <si>
    <t>*중형부대영웅은 공격력은 중형유닛의x0.5배 능력을 가진다</t>
    <phoneticPr fontId="1" type="noConversion"/>
  </si>
  <si>
    <t>*소형부대영웅은 공격력은 소형유닛의x2.5배 능력을 가진다</t>
    <phoneticPr fontId="1" type="noConversion"/>
  </si>
  <si>
    <t>* 영웅의 스킬데미지가 전체 딜량에서 차지하는 적당한 비율을 구해야함</t>
    <phoneticPr fontId="1" type="noConversion"/>
  </si>
  <si>
    <t>* 버프류 스킬의 경우 데미지류 스킬과 비교해서 적당한 버프%를 산정해야함</t>
    <phoneticPr fontId="1" type="noConversion"/>
  </si>
  <si>
    <t>공격력</t>
    <phoneticPr fontId="7" type="noConversion"/>
  </si>
  <si>
    <t>방어력</t>
    <phoneticPr fontId="7" type="noConversion"/>
  </si>
  <si>
    <t>체력</t>
    <phoneticPr fontId="7" type="noConversion"/>
  </si>
  <si>
    <t>공속</t>
    <phoneticPr fontId="7" type="noConversion"/>
  </si>
  <si>
    <t>개체수</t>
    <phoneticPr fontId="7" type="noConversion"/>
  </si>
  <si>
    <t>기사</t>
    <phoneticPr fontId="7" type="noConversion"/>
  </si>
  <si>
    <t>라이칸</t>
    <phoneticPr fontId="7" type="noConversion"/>
  </si>
  <si>
    <t>타천사</t>
    <phoneticPr fontId="7" type="noConversion"/>
  </si>
  <si>
    <t>창병</t>
    <phoneticPr fontId="7" type="noConversion"/>
  </si>
  <si>
    <t>미노</t>
    <phoneticPr fontId="7" type="noConversion"/>
  </si>
  <si>
    <t>골렘</t>
    <phoneticPr fontId="7" type="noConversion"/>
  </si>
  <si>
    <t>방어력이 즉치로 빠질때 각 유닛을 상대로 어떤 유닛이 가장 효율적인가?</t>
    <phoneticPr fontId="7" type="noConversion"/>
  </si>
  <si>
    <t>공격자</t>
    <phoneticPr fontId="7" type="noConversion"/>
  </si>
  <si>
    <t>방어자</t>
    <phoneticPr fontId="7" type="noConversion"/>
  </si>
  <si>
    <t>1회피해</t>
    <phoneticPr fontId="7" type="noConversion"/>
  </si>
  <si>
    <t>피해율</t>
    <phoneticPr fontId="7" type="noConversion"/>
  </si>
  <si>
    <t>dps</t>
    <phoneticPr fontId="7" type="noConversion"/>
  </si>
  <si>
    <t>공격횟수</t>
    <phoneticPr fontId="7" type="noConversion"/>
  </si>
  <si>
    <t>1명 사살시간</t>
    <phoneticPr fontId="7" type="noConversion"/>
  </si>
  <si>
    <t>부대전체사살시간</t>
    <phoneticPr fontId="7" type="noConversion"/>
  </si>
  <si>
    <t>창병</t>
    <phoneticPr fontId="7" type="noConversion"/>
  </si>
  <si>
    <t>미노</t>
    <phoneticPr fontId="7" type="noConversion"/>
  </si>
  <si>
    <t>골렘</t>
    <phoneticPr fontId="7" type="noConversion"/>
  </si>
  <si>
    <t>타천사</t>
    <phoneticPr fontId="7" type="noConversion"/>
  </si>
  <si>
    <t>라이칸이 창병을 원샷원킬이 되어야 타천보다 빨라진다. 아니면 타천의 공속이 훨~씬 길어야 한다</t>
    <phoneticPr fontId="1" type="noConversion"/>
  </si>
  <si>
    <t>답이 안나오네</t>
    <phoneticPr fontId="1" type="noConversion"/>
  </si>
  <si>
    <t>show</t>
    <phoneticPr fontId="1" type="noConversion"/>
  </si>
  <si>
    <t>melee stat</t>
    <phoneticPr fontId="1" type="noConversion"/>
  </si>
  <si>
    <t>range stat</t>
    <phoneticPr fontId="1" type="noConversion"/>
  </si>
  <si>
    <t>range heroes</t>
    <phoneticPr fontId="1" type="noConversion"/>
  </si>
  <si>
    <t>melee heroes</t>
    <phoneticPr fontId="1" type="noConversion"/>
  </si>
  <si>
    <t>목표</t>
    <phoneticPr fontId="1" type="noConversion"/>
  </si>
  <si>
    <t>원거리영웅의 근접능력과 원거리 능력이 현실성 있게 표기되어야 한다.</t>
    <phoneticPr fontId="1" type="noConversion"/>
  </si>
  <si>
    <t>버프(템 or 마법)로 인해 %로 능력치가 증가하면 표기되는것도 정확하게 해당%만큼 바껴야 한다.</t>
    <phoneticPr fontId="1" type="noConversion"/>
  </si>
  <si>
    <t>+1%</t>
    <phoneticPr fontId="1" type="noConversion"/>
  </si>
  <si>
    <t>melee atk</t>
    <phoneticPr fontId="1" type="noConversion"/>
  </si>
  <si>
    <t>range atk</t>
    <phoneticPr fontId="1" type="noConversion"/>
  </si>
  <si>
    <t>def</t>
    <phoneticPr fontId="1" type="noConversion"/>
  </si>
  <si>
    <t>hp</t>
    <phoneticPr fontId="1" type="noConversion"/>
  </si>
  <si>
    <t>atk speed</t>
    <phoneticPr fontId="1" type="noConversion"/>
  </si>
  <si>
    <t>mov speed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</si>
</sst>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0.0_ "/>
    <numFmt numFmtId="177" formatCode="#,##0_);[Red]\(#,##0\)"/>
    <numFmt numFmtId="178" formatCode="#,##0_ "/>
    <numFmt numFmtId="179" formatCode="0_ "/>
    <numFmt numFmtId="180" formatCode="0_);[Red]\(0\)"/>
    <numFmt numFmtId="181" formatCode="0.000"/>
    <numFmt numFmtId="182" formatCode="0.0"/>
    <numFmt numFmtId="183" formatCode="0.00_ "/>
    <numFmt numFmtId="184" formatCode="0.0000"/>
    <numFmt numFmtId="185" formatCode="#,##0.00_);[Red]\(#,##0.00\)"/>
    <numFmt numFmtId="186" formatCode="#,##0.000_);[Red]\(#,##0.000\)"/>
    <numFmt numFmtId="187" formatCode="0.0000_ "/>
    <numFmt numFmtId="188" formatCode="#,##0.0_ "/>
    <numFmt numFmtId="189" formatCode="#,##0.00_ "/>
    <numFmt numFmtId="190" formatCode="0.0%"/>
  </numFmts>
  <fonts count="2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2"/>
      <scheme val="minor"/>
    </font>
    <font>
      <sz val="8"/>
      <color rgb="FFFF0000"/>
      <name val="맑은 고딕"/>
      <family val="2"/>
      <scheme val="minor"/>
    </font>
    <font>
      <sz val="8"/>
      <color indexed="10"/>
      <name val="맑은 고딕"/>
      <family val="2"/>
      <scheme val="minor"/>
    </font>
    <font>
      <sz val="8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rgb="FF002060"/>
      <name val="맑은 고딕"/>
      <family val="2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8"/>
      <color rgb="FF7030A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6" fillId="0" borderId="0"/>
    <xf numFmtId="9" fontId="6" fillId="0" borderId="0" applyFont="0" applyFill="0" applyBorder="0" applyAlignment="0" applyProtection="0">
      <alignment vertical="center"/>
    </xf>
  </cellStyleXfs>
  <cellXfs count="228">
    <xf numFmtId="0" fontId="0" fillId="0" borderId="0" xfId="0"/>
    <xf numFmtId="0" fontId="2" fillId="0" borderId="0" xfId="0" applyFont="1"/>
    <xf numFmtId="176" fontId="2" fillId="0" borderId="0" xfId="0" applyNumberFormat="1" applyFont="1"/>
    <xf numFmtId="177" fontId="2" fillId="0" borderId="0" xfId="0" applyNumberFormat="1" applyFont="1"/>
    <xf numFmtId="0" fontId="3" fillId="0" borderId="0" xfId="0" applyFont="1"/>
    <xf numFmtId="177" fontId="3" fillId="0" borderId="0" xfId="0" applyNumberFormat="1" applyFont="1"/>
    <xf numFmtId="178" fontId="3" fillId="0" borderId="0" xfId="0" applyNumberFormat="1" applyFont="1"/>
    <xf numFmtId="178" fontId="2" fillId="0" borderId="0" xfId="0" applyNumberFormat="1" applyFont="1"/>
    <xf numFmtId="0" fontId="2" fillId="0" borderId="1" xfId="0" applyFont="1" applyBorder="1"/>
    <xf numFmtId="0" fontId="2" fillId="0" borderId="2" xfId="0" applyFont="1" applyBorder="1"/>
    <xf numFmtId="176" fontId="2" fillId="0" borderId="2" xfId="0" applyNumberFormat="1" applyFont="1" applyBorder="1"/>
    <xf numFmtId="0" fontId="2" fillId="0" borderId="3" xfId="0" applyFont="1" applyBorder="1"/>
    <xf numFmtId="178" fontId="2" fillId="0" borderId="2" xfId="0" applyNumberFormat="1" applyFont="1" applyBorder="1"/>
    <xf numFmtId="178" fontId="2" fillId="0" borderId="4" xfId="0" applyNumberFormat="1" applyFont="1" applyBorder="1"/>
    <xf numFmtId="0" fontId="2" fillId="0" borderId="0" xfId="0" applyFont="1" applyBorder="1"/>
    <xf numFmtId="176" fontId="2" fillId="0" borderId="0" xfId="0" applyNumberFormat="1" applyFont="1" applyBorder="1"/>
    <xf numFmtId="178" fontId="2" fillId="0" borderId="0" xfId="0" applyNumberFormat="1" applyFont="1" applyBorder="1"/>
    <xf numFmtId="0" fontId="2" fillId="0" borderId="6" xfId="0" applyFont="1" applyBorder="1"/>
    <xf numFmtId="176" fontId="2" fillId="0" borderId="6" xfId="0" applyNumberFormat="1" applyFont="1" applyBorder="1"/>
    <xf numFmtId="0" fontId="2" fillId="0" borderId="7" xfId="0" applyFont="1" applyBorder="1"/>
    <xf numFmtId="178" fontId="2" fillId="0" borderId="6" xfId="0" applyNumberFormat="1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4" fillId="0" borderId="0" xfId="0" applyFont="1"/>
    <xf numFmtId="0" fontId="5" fillId="0" borderId="0" xfId="0" applyFont="1"/>
    <xf numFmtId="178" fontId="2" fillId="2" borderId="6" xfId="0" applyNumberFormat="1" applyFont="1" applyFill="1" applyBorder="1"/>
    <xf numFmtId="0" fontId="2" fillId="2" borderId="0" xfId="0" applyFont="1" applyFill="1"/>
    <xf numFmtId="178" fontId="2" fillId="0" borderId="0" xfId="0" applyNumberFormat="1" applyFont="1" applyFill="1" applyBorder="1"/>
    <xf numFmtId="0" fontId="8" fillId="4" borderId="12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/>
    </xf>
    <xf numFmtId="0" fontId="8" fillId="4" borderId="14" xfId="1" applyFont="1" applyFill="1" applyBorder="1" applyAlignment="1">
      <alignment horizontal="center"/>
    </xf>
    <xf numFmtId="0" fontId="9" fillId="0" borderId="16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4" xfId="1" applyFont="1" applyBorder="1" applyAlignment="1">
      <alignment horizontal="center"/>
    </xf>
    <xf numFmtId="0" fontId="9" fillId="0" borderId="1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1" applyFont="1" applyBorder="1" applyAlignment="1">
      <alignment horizontal="center"/>
    </xf>
    <xf numFmtId="0" fontId="9" fillId="0" borderId="5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9" fillId="0" borderId="17" xfId="1" applyFont="1" applyBorder="1" applyAlignment="1">
      <alignment horizontal="center"/>
    </xf>
    <xf numFmtId="0" fontId="9" fillId="0" borderId="6" xfId="1" applyFont="1" applyBorder="1" applyAlignment="1">
      <alignment horizontal="center"/>
    </xf>
    <xf numFmtId="0" fontId="9" fillId="0" borderId="8" xfId="1" applyFont="1" applyBorder="1" applyAlignment="1">
      <alignment horizontal="center"/>
    </xf>
    <xf numFmtId="0" fontId="9" fillId="0" borderId="15" xfId="1" applyFont="1" applyFill="1" applyBorder="1" applyAlignment="1">
      <alignment horizontal="center"/>
    </xf>
    <xf numFmtId="0" fontId="9" fillId="0" borderId="0" xfId="1" applyFont="1" applyFill="1" applyBorder="1" applyAlignment="1">
      <alignment horizontal="center"/>
    </xf>
    <xf numFmtId="0" fontId="9" fillId="0" borderId="5" xfId="1" applyFont="1" applyFill="1" applyBorder="1" applyAlignment="1">
      <alignment horizontal="center"/>
    </xf>
    <xf numFmtId="0" fontId="9" fillId="0" borderId="17" xfId="1" applyFont="1" applyFill="1" applyBorder="1" applyAlignment="1">
      <alignment horizontal="center"/>
    </xf>
    <xf numFmtId="0" fontId="9" fillId="0" borderId="6" xfId="1" applyFont="1" applyFill="1" applyBorder="1" applyAlignment="1">
      <alignment horizontal="center"/>
    </xf>
    <xf numFmtId="0" fontId="9" fillId="0" borderId="8" xfId="1" applyFont="1" applyFill="1" applyBorder="1" applyAlignment="1">
      <alignment horizontal="center"/>
    </xf>
    <xf numFmtId="0" fontId="9" fillId="0" borderId="16" xfId="1" applyFont="1" applyFill="1" applyBorder="1" applyAlignment="1">
      <alignment horizontal="center"/>
    </xf>
    <xf numFmtId="0" fontId="9" fillId="0" borderId="2" xfId="1" applyFont="1" applyFill="1" applyBorder="1" applyAlignment="1">
      <alignment horizontal="center"/>
    </xf>
    <xf numFmtId="0" fontId="9" fillId="0" borderId="4" xfId="1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0" xfId="0" applyFont="1"/>
    <xf numFmtId="178" fontId="2" fillId="0" borderId="5" xfId="0" applyNumberFormat="1" applyFont="1" applyFill="1" applyBorder="1"/>
    <xf numFmtId="178" fontId="2" fillId="0" borderId="6" xfId="0" applyNumberFormat="1" applyFont="1" applyFill="1" applyBorder="1"/>
    <xf numFmtId="178" fontId="2" fillId="0" borderId="8" xfId="0" applyNumberFormat="1" applyFont="1" applyFill="1" applyBorder="1"/>
    <xf numFmtId="178" fontId="2" fillId="0" borderId="2" xfId="0" applyNumberFormat="1" applyFont="1" applyFill="1" applyBorder="1"/>
    <xf numFmtId="178" fontId="2" fillId="0" borderId="4" xfId="0" applyNumberFormat="1" applyFont="1" applyFill="1" applyBorder="1"/>
    <xf numFmtId="0" fontId="2" fillId="3" borderId="0" xfId="0" applyFont="1" applyFill="1"/>
    <xf numFmtId="178" fontId="2" fillId="3" borderId="4" xfId="0" applyNumberFormat="1" applyFont="1" applyFill="1" applyBorder="1"/>
    <xf numFmtId="0" fontId="5" fillId="2" borderId="0" xfId="0" applyFont="1" applyFill="1"/>
    <xf numFmtId="179" fontId="2" fillId="0" borderId="2" xfId="0" applyNumberFormat="1" applyFont="1" applyBorder="1"/>
    <xf numFmtId="179" fontId="2" fillId="0" borderId="0" xfId="0" applyNumberFormat="1" applyFont="1" applyBorder="1"/>
    <xf numFmtId="179" fontId="2" fillId="0" borderId="6" xfId="0" applyNumberFormat="1" applyFont="1" applyBorder="1"/>
    <xf numFmtId="179" fontId="2" fillId="0" borderId="0" xfId="0" applyNumberFormat="1" applyFont="1"/>
    <xf numFmtId="179" fontId="5" fillId="0" borderId="2" xfId="0" applyNumberFormat="1" applyFont="1" applyBorder="1"/>
    <xf numFmtId="9" fontId="2" fillId="0" borderId="0" xfId="0" applyNumberFormat="1" applyFont="1"/>
    <xf numFmtId="179" fontId="5" fillId="0" borderId="0" xfId="0" applyNumberFormat="1" applyFont="1"/>
    <xf numFmtId="178" fontId="2" fillId="2" borderId="2" xfId="0" applyNumberFormat="1" applyFont="1" applyFill="1" applyBorder="1"/>
    <xf numFmtId="178" fontId="2" fillId="2" borderId="0" xfId="0" applyNumberFormat="1" applyFont="1" applyFill="1" applyBorder="1"/>
    <xf numFmtId="0" fontId="2" fillId="0" borderId="0" xfId="0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9" fillId="0" borderId="0" xfId="0" applyFont="1" applyAlignment="1"/>
    <xf numFmtId="176" fontId="9" fillId="0" borderId="0" xfId="0" applyNumberFormat="1" applyFont="1" applyAlignment="1"/>
    <xf numFmtId="0" fontId="9" fillId="0" borderId="1" xfId="0" applyFont="1" applyBorder="1" applyAlignment="1"/>
    <xf numFmtId="0" fontId="9" fillId="0" borderId="0" xfId="0" applyFont="1" applyFill="1" applyBorder="1" applyAlignment="1"/>
    <xf numFmtId="180" fontId="9" fillId="0" borderId="0" xfId="0" applyNumberFormat="1" applyFont="1" applyAlignment="1"/>
    <xf numFmtId="0" fontId="9" fillId="0" borderId="9" xfId="0" applyFont="1" applyBorder="1" applyAlignment="1"/>
    <xf numFmtId="0" fontId="9" fillId="0" borderId="2" xfId="0" applyFont="1" applyBorder="1" applyAlignment="1"/>
    <xf numFmtId="179" fontId="9" fillId="0" borderId="2" xfId="0" applyNumberFormat="1" applyFont="1" applyBorder="1" applyAlignment="1"/>
    <xf numFmtId="176" fontId="9" fillId="0" borderId="2" xfId="0" applyNumberFormat="1" applyFont="1" applyBorder="1" applyAlignment="1"/>
    <xf numFmtId="0" fontId="9" fillId="0" borderId="3" xfId="0" applyFont="1" applyBorder="1" applyAlignment="1"/>
    <xf numFmtId="180" fontId="9" fillId="0" borderId="2" xfId="0" applyNumberFormat="1" applyFont="1" applyBorder="1" applyAlignment="1"/>
    <xf numFmtId="179" fontId="9" fillId="0" borderId="0" xfId="0" applyNumberFormat="1" applyFont="1" applyAlignment="1">
      <alignment vertical="center"/>
    </xf>
    <xf numFmtId="179" fontId="9" fillId="0" borderId="0" xfId="0" applyNumberFormat="1" applyFont="1"/>
    <xf numFmtId="0" fontId="9" fillId="0" borderId="10" xfId="0" applyFont="1" applyBorder="1" applyAlignment="1"/>
    <xf numFmtId="0" fontId="9" fillId="0" borderId="0" xfId="0" applyFont="1" applyBorder="1" applyAlignment="1"/>
    <xf numFmtId="179" fontId="9" fillId="0" borderId="0" xfId="0" applyNumberFormat="1" applyFont="1" applyBorder="1" applyAlignment="1"/>
    <xf numFmtId="176" fontId="9" fillId="0" borderId="0" xfId="0" applyNumberFormat="1" applyFont="1" applyBorder="1" applyAlignment="1"/>
    <xf numFmtId="0" fontId="9" fillId="0" borderId="11" xfId="0" applyFont="1" applyBorder="1" applyAlignment="1"/>
    <xf numFmtId="0" fontId="9" fillId="0" borderId="6" xfId="0" applyFont="1" applyBorder="1" applyAlignment="1"/>
    <xf numFmtId="179" fontId="9" fillId="0" borderId="6" xfId="0" applyNumberFormat="1" applyFont="1" applyBorder="1" applyAlignment="1"/>
    <xf numFmtId="176" fontId="9" fillId="0" borderId="6" xfId="0" applyNumberFormat="1" applyFont="1" applyBorder="1" applyAlignment="1"/>
    <xf numFmtId="0" fontId="9" fillId="0" borderId="7" xfId="0" applyFont="1" applyBorder="1" applyAlignment="1"/>
    <xf numFmtId="180" fontId="9" fillId="0" borderId="0" xfId="0" applyNumberFormat="1" applyFont="1" applyBorder="1" applyAlignment="1"/>
    <xf numFmtId="180" fontId="9" fillId="0" borderId="0" xfId="0" applyNumberFormat="1" applyFont="1"/>
    <xf numFmtId="0" fontId="9" fillId="0" borderId="0" xfId="0" applyFont="1"/>
    <xf numFmtId="181" fontId="2" fillId="0" borderId="0" xfId="0" applyNumberFormat="1" applyFont="1"/>
    <xf numFmtId="0" fontId="2" fillId="0" borderId="0" xfId="0" applyFont="1" applyAlignment="1">
      <alignment horizontal="right"/>
    </xf>
    <xf numFmtId="182" fontId="2" fillId="0" borderId="0" xfId="0" applyNumberFormat="1" applyFont="1"/>
    <xf numFmtId="181" fontId="2" fillId="2" borderId="0" xfId="0" applyNumberFormat="1" applyFont="1" applyFill="1"/>
    <xf numFmtId="1" fontId="2" fillId="2" borderId="0" xfId="0" applyNumberFormat="1" applyFont="1" applyFill="1"/>
    <xf numFmtId="0" fontId="9" fillId="0" borderId="16" xfId="0" applyFont="1" applyBorder="1"/>
    <xf numFmtId="0" fontId="9" fillId="0" borderId="2" xfId="0" applyFont="1" applyBorder="1"/>
    <xf numFmtId="0" fontId="9" fillId="0" borderId="4" xfId="0" applyFont="1" applyBorder="1"/>
    <xf numFmtId="0" fontId="9" fillId="0" borderId="15" xfId="0" applyFont="1" applyBorder="1"/>
    <xf numFmtId="0" fontId="9" fillId="0" borderId="0" xfId="0" applyFont="1" applyBorder="1"/>
    <xf numFmtId="0" fontId="9" fillId="5" borderId="0" xfId="0" applyFont="1" applyFill="1" applyBorder="1"/>
    <xf numFmtId="0" fontId="9" fillId="5" borderId="15" xfId="0" applyFont="1" applyFill="1" applyBorder="1"/>
    <xf numFmtId="0" fontId="9" fillId="0" borderId="0" xfId="0" applyFont="1" applyFill="1" applyBorder="1"/>
    <xf numFmtId="0" fontId="9" fillId="2" borderId="0" xfId="0" applyFont="1" applyFill="1" applyBorder="1"/>
    <xf numFmtId="0" fontId="9" fillId="5" borderId="17" xfId="0" applyFont="1" applyFill="1" applyBorder="1"/>
    <xf numFmtId="1" fontId="9" fillId="0" borderId="0" xfId="0" applyNumberFormat="1" applyFont="1" applyBorder="1"/>
    <xf numFmtId="0" fontId="15" fillId="0" borderId="16" xfId="0" applyFont="1" applyBorder="1"/>
    <xf numFmtId="183" fontId="2" fillId="0" borderId="0" xfId="0" applyNumberFormat="1" applyFont="1"/>
    <xf numFmtId="183" fontId="2" fillId="0" borderId="0" xfId="0" applyNumberFormat="1" applyFont="1" applyAlignment="1">
      <alignment horizontal="right"/>
    </xf>
    <xf numFmtId="181" fontId="8" fillId="0" borderId="0" xfId="0" applyNumberFormat="1" applyFont="1"/>
    <xf numFmtId="184" fontId="2" fillId="0" borderId="0" xfId="0" applyNumberFormat="1" applyFont="1"/>
    <xf numFmtId="1" fontId="9" fillId="0" borderId="0" xfId="0" applyNumberFormat="1" applyFont="1"/>
    <xf numFmtId="182" fontId="9" fillId="0" borderId="0" xfId="0" applyNumberFormat="1" applyFont="1"/>
    <xf numFmtId="178" fontId="9" fillId="0" borderId="0" xfId="0" applyNumberFormat="1" applyFont="1"/>
    <xf numFmtId="0" fontId="9" fillId="5" borderId="0" xfId="0" applyNumberFormat="1" applyFont="1" applyFill="1"/>
    <xf numFmtId="0" fontId="2" fillId="5" borderId="0" xfId="0" applyFont="1" applyFill="1"/>
    <xf numFmtId="0" fontId="9" fillId="5" borderId="0" xfId="0" applyFont="1" applyFill="1"/>
    <xf numFmtId="178" fontId="9" fillId="0" borderId="0" xfId="0" applyNumberFormat="1" applyFont="1" applyFill="1"/>
    <xf numFmtId="0" fontId="16" fillId="0" borderId="0" xfId="0" applyFont="1"/>
    <xf numFmtId="0" fontId="17" fillId="0" borderId="0" xfId="0" applyFont="1"/>
    <xf numFmtId="0" fontId="9" fillId="4" borderId="0" xfId="0" applyFont="1" applyFill="1" applyBorder="1"/>
    <xf numFmtId="0" fontId="9" fillId="4" borderId="6" xfId="0" applyFont="1" applyFill="1" applyBorder="1"/>
    <xf numFmtId="0" fontId="9" fillId="0" borderId="0" xfId="0" applyFont="1" applyFill="1"/>
    <xf numFmtId="0" fontId="9" fillId="4" borderId="0" xfId="0" applyFont="1" applyFill="1"/>
    <xf numFmtId="0" fontId="2" fillId="0" borderId="0" xfId="0" applyFont="1" applyFill="1"/>
    <xf numFmtId="0" fontId="9" fillId="0" borderId="5" xfId="0" applyFont="1" applyFill="1" applyBorder="1"/>
    <xf numFmtId="0" fontId="9" fillId="2" borderId="0" xfId="0" applyFont="1" applyFill="1"/>
    <xf numFmtId="2" fontId="9" fillId="0" borderId="0" xfId="0" applyNumberFormat="1" applyFont="1"/>
    <xf numFmtId="181" fontId="9" fillId="0" borderId="0" xfId="0" applyNumberFormat="1" applyFont="1"/>
    <xf numFmtId="0" fontId="9" fillId="3" borderId="0" xfId="0" applyFont="1" applyFill="1" applyBorder="1"/>
    <xf numFmtId="0" fontId="8" fillId="0" borderId="15" xfId="0" applyFont="1" applyBorder="1"/>
    <xf numFmtId="9" fontId="2" fillId="0" borderId="0" xfId="2" applyFont="1" applyAlignment="1"/>
    <xf numFmtId="10" fontId="2" fillId="0" borderId="0" xfId="2" applyNumberFormat="1" applyFont="1" applyAlignment="1"/>
    <xf numFmtId="0" fontId="2" fillId="0" borderId="0" xfId="0" applyFont="1" applyAlignment="1"/>
    <xf numFmtId="2" fontId="2" fillId="2" borderId="0" xfId="0" applyNumberFormat="1" applyFont="1" applyFill="1"/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left"/>
    </xf>
    <xf numFmtId="2" fontId="2" fillId="5" borderId="0" xfId="0" applyNumberFormat="1" applyFont="1" applyFill="1"/>
    <xf numFmtId="9" fontId="2" fillId="5" borderId="0" xfId="0" applyNumberFormat="1" applyFont="1" applyFill="1"/>
    <xf numFmtId="9" fontId="2" fillId="5" borderId="0" xfId="0" applyNumberFormat="1" applyFont="1" applyFill="1" applyAlignment="1">
      <alignment horizontal="right"/>
    </xf>
    <xf numFmtId="10" fontId="2" fillId="5" borderId="0" xfId="2" applyNumberFormat="1" applyFont="1" applyFill="1" applyAlignment="1"/>
    <xf numFmtId="2" fontId="9" fillId="5" borderId="0" xfId="0" applyNumberFormat="1" applyFont="1" applyFill="1"/>
    <xf numFmtId="177" fontId="9" fillId="0" borderId="0" xfId="0" applyNumberFormat="1" applyFont="1"/>
    <xf numFmtId="177" fontId="9" fillId="4" borderId="0" xfId="0" applyNumberFormat="1" applyFont="1" applyFill="1"/>
    <xf numFmtId="177" fontId="9" fillId="0" borderId="2" xfId="0" applyNumberFormat="1" applyFont="1" applyBorder="1"/>
    <xf numFmtId="177" fontId="9" fillId="0" borderId="4" xfId="0" applyNumberFormat="1" applyFont="1" applyBorder="1"/>
    <xf numFmtId="177" fontId="9" fillId="0" borderId="0" xfId="0" applyNumberFormat="1" applyFont="1" applyBorder="1"/>
    <xf numFmtId="177" fontId="9" fillId="5" borderId="0" xfId="0" applyNumberFormat="1" applyFont="1" applyFill="1" applyBorder="1"/>
    <xf numFmtId="177" fontId="9" fillId="0" borderId="0" xfId="0" applyNumberFormat="1" applyFont="1" applyFill="1" applyBorder="1"/>
    <xf numFmtId="177" fontId="9" fillId="4" borderId="0" xfId="0" applyNumberFormat="1" applyFont="1" applyFill="1" applyBorder="1"/>
    <xf numFmtId="177" fontId="9" fillId="2" borderId="0" xfId="0" applyNumberFormat="1" applyFont="1" applyFill="1" applyBorder="1"/>
    <xf numFmtId="177" fontId="9" fillId="4" borderId="6" xfId="0" applyNumberFormat="1" applyFont="1" applyFill="1" applyBorder="1"/>
    <xf numFmtId="185" fontId="9" fillId="0" borderId="0" xfId="0" applyNumberFormat="1" applyFont="1"/>
    <xf numFmtId="186" fontId="9" fillId="0" borderId="2" xfId="0" applyNumberFormat="1" applyFont="1" applyBorder="1"/>
    <xf numFmtId="177" fontId="9" fillId="3" borderId="0" xfId="0" applyNumberFormat="1" applyFont="1" applyFill="1" applyBorder="1"/>
    <xf numFmtId="186" fontId="9" fillId="5" borderId="0" xfId="0" applyNumberFormat="1" applyFont="1" applyFill="1" applyBorder="1"/>
    <xf numFmtId="0" fontId="18" fillId="6" borderId="16" xfId="0" applyFont="1" applyFill="1" applyBorder="1"/>
    <xf numFmtId="9" fontId="9" fillId="0" borderId="0" xfId="2" applyFont="1" applyAlignment="1"/>
    <xf numFmtId="10" fontId="9" fillId="0" borderId="0" xfId="2" applyNumberFormat="1" applyFont="1" applyAlignment="1"/>
    <xf numFmtId="0" fontId="2" fillId="2" borderId="0" xfId="0" applyNumberFormat="1" applyFont="1" applyFill="1"/>
    <xf numFmtId="187" fontId="2" fillId="0" borderId="0" xfId="0" applyNumberFormat="1" applyFont="1"/>
    <xf numFmtId="188" fontId="2" fillId="0" borderId="0" xfId="0" applyNumberFormat="1" applyFont="1"/>
    <xf numFmtId="189" fontId="2" fillId="0" borderId="0" xfId="0" applyNumberFormat="1" applyFont="1"/>
    <xf numFmtId="183" fontId="2" fillId="0" borderId="5" xfId="0" applyNumberFormat="1" applyFont="1" applyBorder="1"/>
    <xf numFmtId="0" fontId="2" fillId="0" borderId="15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8" xfId="0" applyFont="1" applyBorder="1"/>
    <xf numFmtId="9" fontId="2" fillId="0" borderId="5" xfId="0" applyNumberFormat="1" applyFont="1" applyBorder="1"/>
    <xf numFmtId="9" fontId="2" fillId="0" borderId="8" xfId="0" applyNumberFormat="1" applyFont="1" applyBorder="1"/>
    <xf numFmtId="9" fontId="2" fillId="0" borderId="4" xfId="0" applyNumberFormat="1" applyFont="1" applyBorder="1"/>
    <xf numFmtId="9" fontId="2" fillId="0" borderId="0" xfId="0" applyNumberFormat="1" applyFont="1" applyAlignment="1">
      <alignment horizontal="left"/>
    </xf>
    <xf numFmtId="9" fontId="8" fillId="0" borderId="0" xfId="0" applyNumberFormat="1" applyFont="1" applyAlignment="1">
      <alignment horizontal="left"/>
    </xf>
    <xf numFmtId="0" fontId="2" fillId="0" borderId="18" xfId="0" applyFont="1" applyBorder="1"/>
    <xf numFmtId="178" fontId="2" fillId="0" borderId="18" xfId="0" applyNumberFormat="1" applyFont="1" applyBorder="1"/>
    <xf numFmtId="178" fontId="2" fillId="2" borderId="18" xfId="0" applyNumberFormat="1" applyFont="1" applyFill="1" applyBorder="1"/>
    <xf numFmtId="178" fontId="2" fillId="0" borderId="19" xfId="0" applyNumberFormat="1" applyFont="1" applyBorder="1"/>
    <xf numFmtId="179" fontId="2" fillId="0" borderId="18" xfId="0" applyNumberFormat="1" applyFont="1" applyBorder="1"/>
    <xf numFmtId="0" fontId="2" fillId="0" borderId="20" xfId="0" applyFont="1" applyBorder="1"/>
    <xf numFmtId="0" fontId="2" fillId="0" borderId="21" xfId="0" applyFont="1" applyBorder="1"/>
    <xf numFmtId="178" fontId="2" fillId="0" borderId="20" xfId="0" applyNumberFormat="1" applyFont="1" applyBorder="1"/>
    <xf numFmtId="178" fontId="2" fillId="2" borderId="20" xfId="0" applyNumberFormat="1" applyFont="1" applyFill="1" applyBorder="1"/>
    <xf numFmtId="178" fontId="2" fillId="0" borderId="21" xfId="0" applyNumberFormat="1" applyFont="1" applyFill="1" applyBorder="1"/>
    <xf numFmtId="179" fontId="2" fillId="0" borderId="20" xfId="0" applyNumberFormat="1" applyFont="1" applyBorder="1"/>
    <xf numFmtId="177" fontId="2" fillId="2" borderId="2" xfId="0" applyNumberFormat="1" applyFont="1" applyFill="1" applyBorder="1"/>
    <xf numFmtId="177" fontId="5" fillId="0" borderId="2" xfId="0" applyNumberFormat="1" applyFont="1" applyBorder="1"/>
    <xf numFmtId="177" fontId="5" fillId="0" borderId="0" xfId="0" applyNumberFormat="1" applyFont="1"/>
    <xf numFmtId="177" fontId="5" fillId="0" borderId="0" xfId="0" applyNumberFormat="1" applyFont="1" applyBorder="1"/>
    <xf numFmtId="0" fontId="5" fillId="0" borderId="0" xfId="0" applyFont="1" applyAlignment="1">
      <alignment horizontal="right"/>
    </xf>
    <xf numFmtId="178" fontId="5" fillId="0" borderId="0" xfId="0" applyNumberFormat="1" applyFont="1"/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190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190" fontId="0" fillId="0" borderId="0" xfId="0" applyNumberFormat="1" applyBorder="1" applyAlignment="1">
      <alignment vertical="center"/>
    </xf>
    <xf numFmtId="183" fontId="0" fillId="0" borderId="0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90" fontId="0" fillId="0" borderId="6" xfId="0" applyNumberFormat="1" applyBorder="1" applyAlignment="1">
      <alignment vertical="center"/>
    </xf>
    <xf numFmtId="183" fontId="0" fillId="0" borderId="6" xfId="0" applyNumberFormat="1" applyBorder="1" applyAlignment="1">
      <alignment vertical="center"/>
    </xf>
    <xf numFmtId="0" fontId="0" fillId="2" borderId="0" xfId="0" applyFill="1" applyAlignment="1">
      <alignment vertical="center"/>
    </xf>
    <xf numFmtId="0" fontId="5" fillId="0" borderId="0" xfId="0" applyFont="1" applyAlignment="1">
      <alignment horizontal="center"/>
    </xf>
    <xf numFmtId="0" fontId="9" fillId="0" borderId="9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15" xfId="0" applyFont="1" applyBorder="1" applyAlignment="1">
      <alignment horizontal="center"/>
    </xf>
    <xf numFmtId="178" fontId="8" fillId="0" borderId="15" xfId="0" applyNumberFormat="1" applyFont="1" applyBorder="1"/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189" fontId="8" fillId="0" borderId="15" xfId="0" applyNumberFormat="1" applyFont="1" applyBorder="1"/>
  </cellXfs>
  <cellStyles count="3">
    <cellStyle name="백분율" xfId="2" builtinId="5"/>
    <cellStyle name="표준" xfId="0" builtinId="0"/>
    <cellStyle name="표준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Sheet2!$H$2:$H$32</c:f>
              <c:numCache>
                <c:formatCode>#,##0_ </c:formatCode>
                <c:ptCount val="31"/>
                <c:pt idx="0">
                  <c:v>37.5</c:v>
                </c:pt>
                <c:pt idx="1">
                  <c:v>45.375</c:v>
                </c:pt>
                <c:pt idx="2">
                  <c:v>54</c:v>
                </c:pt>
                <c:pt idx="3">
                  <c:v>63.375000000000007</c:v>
                </c:pt>
                <c:pt idx="4">
                  <c:v>73.5</c:v>
                </c:pt>
                <c:pt idx="5">
                  <c:v>84.375</c:v>
                </c:pt>
                <c:pt idx="6">
                  <c:v>96</c:v>
                </c:pt>
                <c:pt idx="7">
                  <c:v>108.375</c:v>
                </c:pt>
                <c:pt idx="8">
                  <c:v>121.5</c:v>
                </c:pt>
                <c:pt idx="9">
                  <c:v>135.375</c:v>
                </c:pt>
                <c:pt idx="10">
                  <c:v>150</c:v>
                </c:pt>
                <c:pt idx="11">
                  <c:v>165.375</c:v>
                </c:pt>
                <c:pt idx="12">
                  <c:v>181.5</c:v>
                </c:pt>
                <c:pt idx="13">
                  <c:v>198.37499999999997</c:v>
                </c:pt>
                <c:pt idx="14">
                  <c:v>216</c:v>
                </c:pt>
                <c:pt idx="15">
                  <c:v>234.375</c:v>
                </c:pt>
                <c:pt idx="16">
                  <c:v>253.50000000000003</c:v>
                </c:pt>
                <c:pt idx="17">
                  <c:v>273.375</c:v>
                </c:pt>
                <c:pt idx="18">
                  <c:v>294</c:v>
                </c:pt>
                <c:pt idx="19">
                  <c:v>315.375</c:v>
                </c:pt>
                <c:pt idx="20">
                  <c:v>337.5</c:v>
                </c:pt>
                <c:pt idx="21">
                  <c:v>360.375</c:v>
                </c:pt>
                <c:pt idx="22">
                  <c:v>384</c:v>
                </c:pt>
                <c:pt idx="23">
                  <c:v>408.375</c:v>
                </c:pt>
                <c:pt idx="24">
                  <c:v>433.5</c:v>
                </c:pt>
                <c:pt idx="25">
                  <c:v>459.375</c:v>
                </c:pt>
                <c:pt idx="26">
                  <c:v>486</c:v>
                </c:pt>
                <c:pt idx="27">
                  <c:v>513.37500000000011</c:v>
                </c:pt>
                <c:pt idx="28">
                  <c:v>541.5</c:v>
                </c:pt>
                <c:pt idx="29">
                  <c:v>570.37499999999989</c:v>
                </c:pt>
                <c:pt idx="30">
                  <c:v>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877392"/>
        <c:axId val="573883376"/>
      </c:lineChart>
      <c:catAx>
        <c:axId val="57387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83376"/>
        <c:crosses val="autoZero"/>
        <c:auto val="1"/>
        <c:lblAlgn val="ctr"/>
        <c:lblOffset val="100"/>
        <c:noMultiLvlLbl val="0"/>
      </c:catAx>
      <c:valAx>
        <c:axId val="5738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7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Sheet3!$K$11</c:f>
              <c:strCache>
                <c:ptCount val="1"/>
                <c:pt idx="0">
                  <c:v>골렘dps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Sheet3!$J$12:$J$27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Sheet3!$K$12:$K$27</c:f>
              <c:numCache>
                <c:formatCode>#,##0_);[Red]\(#,##0\)</c:formatCode>
                <c:ptCount val="16"/>
                <c:pt idx="0">
                  <c:v>84.375</c:v>
                </c:pt>
                <c:pt idx="1">
                  <c:v>101.25</c:v>
                </c:pt>
                <c:pt idx="2">
                  <c:v>118.12499999999999</c:v>
                </c:pt>
                <c:pt idx="3">
                  <c:v>135</c:v>
                </c:pt>
                <c:pt idx="4">
                  <c:v>151.875</c:v>
                </c:pt>
                <c:pt idx="5">
                  <c:v>168.75</c:v>
                </c:pt>
                <c:pt idx="6">
                  <c:v>185.62500000000003</c:v>
                </c:pt>
                <c:pt idx="7">
                  <c:v>202.50000000000003</c:v>
                </c:pt>
                <c:pt idx="8">
                  <c:v>219.375</c:v>
                </c:pt>
                <c:pt idx="9">
                  <c:v>236.24999999999997</c:v>
                </c:pt>
                <c:pt idx="10">
                  <c:v>253.125</c:v>
                </c:pt>
                <c:pt idx="11">
                  <c:v>270</c:v>
                </c:pt>
                <c:pt idx="12">
                  <c:v>286.87500000000006</c:v>
                </c:pt>
                <c:pt idx="13">
                  <c:v>303.75</c:v>
                </c:pt>
                <c:pt idx="14">
                  <c:v>320.625</c:v>
                </c:pt>
                <c:pt idx="15">
                  <c:v>337.5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Sheet3!$L$11</c:f>
              <c:strCache>
                <c:ptCount val="1"/>
                <c:pt idx="0">
                  <c:v>창병dps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Sheet3!$J$12:$J$27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Sheet3!$L$12:$L$27</c:f>
              <c:numCache>
                <c:formatCode>General</c:formatCode>
                <c:ptCount val="16"/>
                <c:pt idx="0">
                  <c:v>187.5</c:v>
                </c:pt>
                <c:pt idx="1">
                  <c:v>225</c:v>
                </c:pt>
                <c:pt idx="2">
                  <c:v>262.5</c:v>
                </c:pt>
                <c:pt idx="3">
                  <c:v>300</c:v>
                </c:pt>
                <c:pt idx="4">
                  <c:v>337.5</c:v>
                </c:pt>
                <c:pt idx="5">
                  <c:v>375</c:v>
                </c:pt>
                <c:pt idx="6">
                  <c:v>412.5</c:v>
                </c:pt>
                <c:pt idx="7">
                  <c:v>450</c:v>
                </c:pt>
                <c:pt idx="8">
                  <c:v>487.5</c:v>
                </c:pt>
                <c:pt idx="9">
                  <c:v>525</c:v>
                </c:pt>
                <c:pt idx="10">
                  <c:v>562.5</c:v>
                </c:pt>
                <c:pt idx="11">
                  <c:v>600</c:v>
                </c:pt>
                <c:pt idx="12">
                  <c:v>637.5</c:v>
                </c:pt>
                <c:pt idx="13">
                  <c:v>675</c:v>
                </c:pt>
                <c:pt idx="14">
                  <c:v>712.5</c:v>
                </c:pt>
                <c:pt idx="15">
                  <c:v>750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Sheet3!$M$11</c:f>
              <c:strCache>
                <c:ptCount val="1"/>
                <c:pt idx="0">
                  <c:v>미노dps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Sheet3!$J$12:$J$27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Sheet3!$M$12:$M$27</c:f>
              <c:numCache>
                <c:formatCode>0_ </c:formatCode>
                <c:ptCount val="16"/>
                <c:pt idx="0">
                  <c:v>147.1875</c:v>
                </c:pt>
                <c:pt idx="1">
                  <c:v>176.625</c:v>
                </c:pt>
                <c:pt idx="2">
                  <c:v>206.0625</c:v>
                </c:pt>
                <c:pt idx="3">
                  <c:v>235.50000000000003</c:v>
                </c:pt>
                <c:pt idx="4">
                  <c:v>264.9375</c:v>
                </c:pt>
                <c:pt idx="5">
                  <c:v>294.375</c:v>
                </c:pt>
                <c:pt idx="6">
                  <c:v>323.8125</c:v>
                </c:pt>
                <c:pt idx="7">
                  <c:v>353.25</c:v>
                </c:pt>
                <c:pt idx="8">
                  <c:v>382.68750000000006</c:v>
                </c:pt>
                <c:pt idx="9">
                  <c:v>412.125</c:v>
                </c:pt>
                <c:pt idx="10">
                  <c:v>441.5625</c:v>
                </c:pt>
                <c:pt idx="11">
                  <c:v>471.00000000000006</c:v>
                </c:pt>
                <c:pt idx="12">
                  <c:v>500.4375</c:v>
                </c:pt>
                <c:pt idx="13">
                  <c:v>529.875</c:v>
                </c:pt>
                <c:pt idx="14">
                  <c:v>559.3125</c:v>
                </c:pt>
                <c:pt idx="15">
                  <c:v>588.75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864880"/>
        <c:axId val="573875216"/>
      </c:lineChart>
      <c:catAx>
        <c:axId val="57386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75216"/>
        <c:crosses val="autoZero"/>
        <c:auto val="1"/>
        <c:lblAlgn val="ctr"/>
        <c:lblOffset val="100"/>
        <c:noMultiLvlLbl val="0"/>
      </c:catAx>
      <c:valAx>
        <c:axId val="57387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6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'매칭-전투력'!$U$58:$U$62</c:f>
              <c:numCache>
                <c:formatCode>0.00%</c:formatCode>
                <c:ptCount val="5"/>
                <c:pt idx="0">
                  <c:v>9.999999999999995E-3</c:v>
                </c:pt>
                <c:pt idx="1">
                  <c:v>2.6591479484724935E-2</c:v>
                </c:pt>
                <c:pt idx="2">
                  <c:v>7.0710678118654738E-2</c:v>
                </c:pt>
                <c:pt idx="3">
                  <c:v>0.18803015465431969</c:v>
                </c:pt>
                <c:pt idx="4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869776"/>
        <c:axId val="573871952"/>
      </c:lineChart>
      <c:catAx>
        <c:axId val="57386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71952"/>
        <c:crosses val="autoZero"/>
        <c:auto val="1"/>
        <c:lblAlgn val="ctr"/>
        <c:lblOffset val="100"/>
        <c:noMultiLvlLbl val="0"/>
      </c:catAx>
      <c:valAx>
        <c:axId val="57387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86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76200</xdr:rowOff>
    </xdr:from>
    <xdr:to>
      <xdr:col>2</xdr:col>
      <xdr:colOff>400050</xdr:colOff>
      <xdr:row>3</xdr:row>
      <xdr:rowOff>66675</xdr:rowOff>
    </xdr:to>
    <xdr:sp macro="[0]!Sheet1.test" textlink="">
      <xdr:nvSpPr>
        <xdr:cNvPr id="2" name="직사각형 1"/>
        <xdr:cNvSpPr/>
      </xdr:nvSpPr>
      <xdr:spPr>
        <a:xfrm>
          <a:off x="352425" y="76200"/>
          <a:ext cx="141922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12</xdr:row>
      <xdr:rowOff>0</xdr:rowOff>
    </xdr:from>
    <xdr:to>
      <xdr:col>1</xdr:col>
      <xdr:colOff>571499</xdr:colOff>
      <xdr:row>15</xdr:row>
      <xdr:rowOff>76200</xdr:rowOff>
    </xdr:to>
    <xdr:sp macro="[0]!Sheet2.전투" textlink="">
      <xdr:nvSpPr>
        <xdr:cNvPr id="2" name="직사각형 1"/>
        <xdr:cNvSpPr/>
      </xdr:nvSpPr>
      <xdr:spPr>
        <a:xfrm>
          <a:off x="238124" y="1714500"/>
          <a:ext cx="1019175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전투</a:t>
          </a:r>
        </a:p>
      </xdr:txBody>
    </xdr:sp>
    <xdr:clientData/>
  </xdr:twoCellAnchor>
  <xdr:twoCellAnchor>
    <xdr:from>
      <xdr:col>23</xdr:col>
      <xdr:colOff>152399</xdr:colOff>
      <xdr:row>2</xdr:row>
      <xdr:rowOff>19050</xdr:rowOff>
    </xdr:from>
    <xdr:to>
      <xdr:col>24</xdr:col>
      <xdr:colOff>485774</xdr:colOff>
      <xdr:row>5</xdr:row>
      <xdr:rowOff>95250</xdr:rowOff>
    </xdr:to>
    <xdr:sp macro="[0]!Sheet2.전투3" textlink="">
      <xdr:nvSpPr>
        <xdr:cNvPr id="3" name="직사각형 2"/>
        <xdr:cNvSpPr/>
      </xdr:nvSpPr>
      <xdr:spPr>
        <a:xfrm>
          <a:off x="15925799" y="304800"/>
          <a:ext cx="1019175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전투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561974</xdr:colOff>
      <xdr:row>2</xdr:row>
      <xdr:rowOff>42861</xdr:rowOff>
    </xdr:from>
    <xdr:to>
      <xdr:col>26</xdr:col>
      <xdr:colOff>95249</xdr:colOff>
      <xdr:row>49</xdr:row>
      <xdr:rowOff>114299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34</xdr:row>
      <xdr:rowOff>4762</xdr:rowOff>
    </xdr:from>
    <xdr:to>
      <xdr:col>8</xdr:col>
      <xdr:colOff>104775</xdr:colOff>
      <xdr:row>53</xdr:row>
      <xdr:rowOff>33337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95250</xdr:colOff>
      <xdr:row>46</xdr:row>
      <xdr:rowOff>9525</xdr:rowOff>
    </xdr:from>
    <xdr:to>
      <xdr:col>27</xdr:col>
      <xdr:colOff>295275</xdr:colOff>
      <xdr:row>56</xdr:row>
      <xdr:rowOff>19050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57</xdr:row>
      <xdr:rowOff>28575</xdr:rowOff>
    </xdr:from>
    <xdr:to>
      <xdr:col>18</xdr:col>
      <xdr:colOff>438150</xdr:colOff>
      <xdr:row>71</xdr:row>
      <xdr:rowOff>9528</xdr:rowOff>
    </xdr:to>
    <xdr:cxnSp macro="">
      <xdr:nvCxnSpPr>
        <xdr:cNvPr id="3" name="직선 화살표 연결선 2"/>
        <xdr:cNvCxnSpPr/>
      </xdr:nvCxnSpPr>
      <xdr:spPr>
        <a:xfrm flipV="1">
          <a:off x="6000750" y="8248650"/>
          <a:ext cx="3143250" cy="198120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17</xdr:row>
      <xdr:rowOff>47625</xdr:rowOff>
    </xdr:from>
    <xdr:to>
      <xdr:col>18</xdr:col>
      <xdr:colOff>428625</xdr:colOff>
      <xdr:row>31</xdr:row>
      <xdr:rowOff>114303</xdr:rowOff>
    </xdr:to>
    <xdr:cxnSp macro="">
      <xdr:nvCxnSpPr>
        <xdr:cNvPr id="7" name="직선 화살표 연결선 6"/>
        <xdr:cNvCxnSpPr/>
      </xdr:nvCxnSpPr>
      <xdr:spPr>
        <a:xfrm flipV="1">
          <a:off x="6000750" y="2552700"/>
          <a:ext cx="3133725" cy="20669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30</xdr:row>
      <xdr:rowOff>28575</xdr:rowOff>
    </xdr:from>
    <xdr:to>
      <xdr:col>17</xdr:col>
      <xdr:colOff>428625</xdr:colOff>
      <xdr:row>48</xdr:row>
      <xdr:rowOff>133350</xdr:rowOff>
    </xdr:to>
    <xdr:cxnSp macro="">
      <xdr:nvCxnSpPr>
        <xdr:cNvPr id="3" name="직선 화살표 연결선 2"/>
        <xdr:cNvCxnSpPr/>
      </xdr:nvCxnSpPr>
      <xdr:spPr>
        <a:xfrm flipH="1" flipV="1">
          <a:off x="4552950" y="4429125"/>
          <a:ext cx="3448050" cy="2790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14</xdr:row>
      <xdr:rowOff>66675</xdr:rowOff>
    </xdr:from>
    <xdr:to>
      <xdr:col>14</xdr:col>
      <xdr:colOff>419100</xdr:colOff>
      <xdr:row>28</xdr:row>
      <xdr:rowOff>114300</xdr:rowOff>
    </xdr:to>
    <xdr:cxnSp macro="">
      <xdr:nvCxnSpPr>
        <xdr:cNvPr id="5" name="직선 화살표 연결선 4"/>
        <xdr:cNvCxnSpPr/>
      </xdr:nvCxnSpPr>
      <xdr:spPr>
        <a:xfrm flipV="1">
          <a:off x="4533900" y="2181225"/>
          <a:ext cx="2143125" cy="2047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54</xdr:row>
      <xdr:rowOff>38100</xdr:rowOff>
    </xdr:from>
    <xdr:to>
      <xdr:col>48</xdr:col>
      <xdr:colOff>371475</xdr:colOff>
      <xdr:row>57</xdr:row>
      <xdr:rowOff>0</xdr:rowOff>
    </xdr:to>
    <xdr:cxnSp macro="">
      <xdr:nvCxnSpPr>
        <xdr:cNvPr id="7" name="직선 화살표 연결선 6"/>
        <xdr:cNvCxnSpPr/>
      </xdr:nvCxnSpPr>
      <xdr:spPr>
        <a:xfrm flipV="1">
          <a:off x="1924050" y="7981950"/>
          <a:ext cx="19602450" cy="504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Q61"/>
  <sheetViews>
    <sheetView workbookViewId="0">
      <selection activeCell="A8" sqref="A8"/>
    </sheetView>
  </sheetViews>
  <sheetFormatPr defaultRowHeight="11.25" x14ac:dyDescent="0.2"/>
  <cols>
    <col min="1" max="11" width="9" style="1"/>
    <col min="12" max="12" width="9" style="2"/>
    <col min="13" max="16384" width="9" style="1"/>
  </cols>
  <sheetData>
    <row r="2" spans="1:13" x14ac:dyDescent="0.2">
      <c r="H2" s="1" t="s">
        <v>1</v>
      </c>
      <c r="I2" s="1" t="s">
        <v>2</v>
      </c>
      <c r="J2" s="1" t="s">
        <v>3</v>
      </c>
      <c r="K2" s="1" t="s">
        <v>4</v>
      </c>
      <c r="L2" s="2" t="s">
        <v>5</v>
      </c>
      <c r="M2" s="1" t="s">
        <v>6</v>
      </c>
    </row>
    <row r="3" spans="1:13" x14ac:dyDescent="0.2">
      <c r="G3" s="1" t="s">
        <v>0</v>
      </c>
      <c r="H3" s="1">
        <v>10</v>
      </c>
      <c r="I3" s="1">
        <v>0</v>
      </c>
      <c r="J3" s="1">
        <v>8</v>
      </c>
      <c r="K3" s="1">
        <v>80</v>
      </c>
      <c r="L3" s="2">
        <v>1</v>
      </c>
      <c r="M3" s="1">
        <v>0.3</v>
      </c>
    </row>
    <row r="4" spans="1:13" x14ac:dyDescent="0.2">
      <c r="G4" s="1" t="s">
        <v>7</v>
      </c>
      <c r="H4" s="1">
        <v>360</v>
      </c>
      <c r="I4" s="1">
        <v>0</v>
      </c>
      <c r="J4" s="1">
        <v>50</v>
      </c>
      <c r="K4" s="1">
        <v>400</v>
      </c>
      <c r="L4" s="2">
        <v>3</v>
      </c>
      <c r="M4" s="1">
        <v>1</v>
      </c>
    </row>
    <row r="6" spans="1:13" x14ac:dyDescent="0.2">
      <c r="G6" s="1" t="s">
        <v>0</v>
      </c>
      <c r="H6" s="1">
        <v>10</v>
      </c>
      <c r="I6" s="1">
        <v>0</v>
      </c>
      <c r="J6" s="1">
        <v>8</v>
      </c>
      <c r="K6" s="1">
        <v>80</v>
      </c>
      <c r="L6" s="2">
        <v>1</v>
      </c>
      <c r="M6" s="1">
        <v>0.3</v>
      </c>
    </row>
    <row r="7" spans="1:13" x14ac:dyDescent="0.2">
      <c r="G7" s="1" t="s">
        <v>36</v>
      </c>
    </row>
    <row r="10" spans="1:13" x14ac:dyDescent="0.2">
      <c r="A10" s="1">
        <v>18</v>
      </c>
    </row>
    <row r="16" spans="1:13" x14ac:dyDescent="0.2">
      <c r="J16" s="3"/>
      <c r="K16" s="3"/>
      <c r="L16" s="3"/>
      <c r="M16" s="3"/>
    </row>
    <row r="17" spans="5:15" x14ac:dyDescent="0.2">
      <c r="J17" s="3"/>
      <c r="K17" s="3"/>
      <c r="L17" s="3"/>
      <c r="M17" s="3"/>
    </row>
    <row r="18" spans="5:15" x14ac:dyDescent="0.2">
      <c r="J18" s="3"/>
      <c r="K18" s="3"/>
      <c r="L18" s="3"/>
      <c r="M18" s="3"/>
    </row>
    <row r="19" spans="5:15" x14ac:dyDescent="0.2">
      <c r="J19" s="3"/>
      <c r="K19" s="3"/>
      <c r="L19" s="3"/>
      <c r="M19" s="3"/>
    </row>
    <row r="20" spans="5:15" x14ac:dyDescent="0.2">
      <c r="J20" s="3"/>
      <c r="K20" s="3"/>
      <c r="L20" s="3"/>
      <c r="M20" s="3"/>
    </row>
    <row r="21" spans="5:15" x14ac:dyDescent="0.2">
      <c r="J21" s="3"/>
      <c r="K21" s="3"/>
      <c r="L21" s="3"/>
      <c r="M21" s="3"/>
    </row>
    <row r="22" spans="5:15" x14ac:dyDescent="0.2">
      <c r="H22" s="1" t="s">
        <v>0</v>
      </c>
      <c r="J22" s="3">
        <v>100000</v>
      </c>
      <c r="K22" s="3">
        <v>100000</v>
      </c>
      <c r="L22" s="3">
        <v>80000</v>
      </c>
      <c r="M22" s="3">
        <v>800000</v>
      </c>
      <c r="O22" s="1" t="s">
        <v>28</v>
      </c>
    </row>
    <row r="23" spans="5:15" x14ac:dyDescent="0.2">
      <c r="H23" s="1" t="s">
        <v>34</v>
      </c>
      <c r="J23" s="3"/>
      <c r="K23" s="3"/>
      <c r="L23" s="3"/>
      <c r="M23" s="3"/>
    </row>
    <row r="24" spans="5:15" x14ac:dyDescent="0.2">
      <c r="H24" s="1" t="s">
        <v>35</v>
      </c>
      <c r="J24" s="3"/>
      <c r="K24" s="3"/>
      <c r="L24" s="3"/>
      <c r="M24" s="3"/>
    </row>
    <row r="25" spans="5:15" x14ac:dyDescent="0.2">
      <c r="J25" s="1" t="s">
        <v>10</v>
      </c>
      <c r="K25" s="1" t="s">
        <v>9</v>
      </c>
      <c r="L25" s="1" t="s">
        <v>11</v>
      </c>
      <c r="M25" s="2" t="s">
        <v>12</v>
      </c>
    </row>
    <row r="26" spans="5:15" x14ac:dyDescent="0.2">
      <c r="G26" s="1" t="s">
        <v>0</v>
      </c>
      <c r="H26" s="3">
        <v>10000</v>
      </c>
      <c r="I26" s="3"/>
      <c r="J26" s="3">
        <f>(H3*H26)/L3</f>
        <v>100000</v>
      </c>
      <c r="K26" s="3">
        <f>H26*H3</f>
        <v>100000</v>
      </c>
      <c r="L26" s="3">
        <f>H26*J3</f>
        <v>80000</v>
      </c>
      <c r="M26" s="3">
        <f>H26*K3</f>
        <v>800000</v>
      </c>
    </row>
    <row r="27" spans="5:15" x14ac:dyDescent="0.2">
      <c r="G27" s="1" t="s">
        <v>7</v>
      </c>
      <c r="H27" s="3">
        <v>1000</v>
      </c>
      <c r="I27" s="3"/>
      <c r="J27" s="3">
        <f>(H4*H27)/L4</f>
        <v>120000</v>
      </c>
      <c r="K27" s="3">
        <f>H27*H4</f>
        <v>360000</v>
      </c>
      <c r="L27" s="3">
        <f>H27*J4</f>
        <v>50000</v>
      </c>
      <c r="M27" s="3">
        <f>H27*K4</f>
        <v>400000</v>
      </c>
    </row>
    <row r="28" spans="5:15" x14ac:dyDescent="0.2">
      <c r="H28" s="3"/>
      <c r="I28" s="3"/>
      <c r="J28" s="3"/>
      <c r="K28" s="3"/>
      <c r="L28" s="3"/>
      <c r="M28" s="3"/>
    </row>
    <row r="29" spans="5:15" x14ac:dyDescent="0.2">
      <c r="H29" s="3"/>
      <c r="I29" s="3"/>
      <c r="J29" s="3"/>
      <c r="K29" s="3"/>
      <c r="L29" s="3"/>
      <c r="M29" s="3"/>
    </row>
    <row r="30" spans="5:15" x14ac:dyDescent="0.2">
      <c r="G30" s="1" t="s">
        <v>0</v>
      </c>
      <c r="H30" s="3"/>
      <c r="I30" s="3"/>
      <c r="J30" s="3"/>
      <c r="L30" s="3" t="s">
        <v>7</v>
      </c>
      <c r="M30" s="3"/>
      <c r="N30" s="3"/>
    </row>
    <row r="31" spans="5:15" x14ac:dyDescent="0.2">
      <c r="G31" s="1" t="s">
        <v>8</v>
      </c>
      <c r="H31" s="3" t="s">
        <v>14</v>
      </c>
      <c r="I31" s="3" t="s">
        <v>3</v>
      </c>
      <c r="J31" s="3" t="s">
        <v>4</v>
      </c>
      <c r="L31" s="3" t="s">
        <v>8</v>
      </c>
      <c r="M31" s="3" t="s">
        <v>14</v>
      </c>
      <c r="N31" s="3" t="s">
        <v>3</v>
      </c>
      <c r="O31" s="1" t="s">
        <v>4</v>
      </c>
    </row>
    <row r="32" spans="5:15" x14ac:dyDescent="0.2">
      <c r="E32" s="1" t="s">
        <v>13</v>
      </c>
      <c r="F32" s="1" t="s">
        <v>16</v>
      </c>
      <c r="G32" s="6">
        <f>J32/K3</f>
        <v>6500</v>
      </c>
      <c r="H32" s="5">
        <f>G32*H3</f>
        <v>65000</v>
      </c>
      <c r="I32" s="5">
        <v>0</v>
      </c>
      <c r="J32" s="5">
        <f>M26-(M32-L26)</f>
        <v>520000</v>
      </c>
      <c r="L32" s="3">
        <f>H27</f>
        <v>1000</v>
      </c>
      <c r="M32" s="3">
        <f>K27</f>
        <v>360000</v>
      </c>
      <c r="N32" s="3">
        <f>L27</f>
        <v>50000</v>
      </c>
      <c r="O32" s="3">
        <f>M27</f>
        <v>400000</v>
      </c>
    </row>
    <row r="33" spans="5:17" x14ac:dyDescent="0.2">
      <c r="G33" s="7"/>
      <c r="H33" s="3"/>
      <c r="I33" s="3"/>
      <c r="J33" s="3"/>
      <c r="K33" s="3"/>
      <c r="L33" s="3"/>
      <c r="M33" s="3"/>
    </row>
    <row r="34" spans="5:17" x14ac:dyDescent="0.2">
      <c r="G34" s="7"/>
      <c r="H34" s="3"/>
      <c r="I34" s="3"/>
      <c r="J34" s="3"/>
      <c r="K34" s="3"/>
      <c r="L34" s="5">
        <f>O34/K4</f>
        <v>962.5</v>
      </c>
      <c r="M34" s="5">
        <f>H4*L34</f>
        <v>346500</v>
      </c>
      <c r="N34" s="5">
        <f>MAX(N32-H32,0)</f>
        <v>0</v>
      </c>
      <c r="O34" s="5">
        <f>IF( H32&gt;N32, O32-(H32-N32), O32)</f>
        <v>385000</v>
      </c>
    </row>
    <row r="35" spans="5:17" x14ac:dyDescent="0.2">
      <c r="G35" s="7"/>
      <c r="H35" s="3"/>
      <c r="I35" s="3"/>
      <c r="J35" s="3"/>
      <c r="K35" s="3"/>
      <c r="L35" s="3"/>
      <c r="M35" s="3"/>
    </row>
    <row r="36" spans="5:17" x14ac:dyDescent="0.2">
      <c r="E36" s="1" t="s">
        <v>15</v>
      </c>
      <c r="F36" s="1" t="s">
        <v>17</v>
      </c>
      <c r="G36" s="7"/>
      <c r="H36" s="3"/>
      <c r="I36" s="3"/>
      <c r="J36" s="3"/>
      <c r="K36" s="3"/>
      <c r="L36" s="5">
        <f>O36/K4</f>
        <v>800</v>
      </c>
      <c r="M36" s="5">
        <f>H4*L36</f>
        <v>288000</v>
      </c>
      <c r="N36" s="5">
        <f>MAX(N34-H32,0)</f>
        <v>0</v>
      </c>
      <c r="O36" s="5">
        <f>IF( H32&gt;N34, O34-(H32-N34), O34)</f>
        <v>320000</v>
      </c>
      <c r="Q36" s="3"/>
    </row>
    <row r="37" spans="5:17" x14ac:dyDescent="0.2">
      <c r="G37" s="7"/>
      <c r="H37" s="3"/>
      <c r="I37" s="3"/>
      <c r="J37" s="3"/>
      <c r="K37" s="3"/>
      <c r="L37" s="3"/>
      <c r="M37" s="3"/>
    </row>
    <row r="38" spans="5:17" x14ac:dyDescent="0.2">
      <c r="E38" s="1" t="s">
        <v>18</v>
      </c>
      <c r="F38" s="1" t="s">
        <v>19</v>
      </c>
      <c r="G38" s="7"/>
      <c r="H38" s="3"/>
      <c r="I38" s="3"/>
      <c r="J38" s="3"/>
      <c r="K38" s="3"/>
      <c r="L38" s="5">
        <f>O38/K4</f>
        <v>637.5</v>
      </c>
      <c r="M38" s="5">
        <f>L38*H4</f>
        <v>229500</v>
      </c>
      <c r="N38" s="5">
        <f>MAX(N36-H32,0)</f>
        <v>0</v>
      </c>
      <c r="O38" s="5">
        <f>O36-H32</f>
        <v>255000</v>
      </c>
    </row>
    <row r="39" spans="5:17" x14ac:dyDescent="0.2">
      <c r="G39" s="7"/>
    </row>
    <row r="40" spans="5:17" x14ac:dyDescent="0.2">
      <c r="E40" s="1" t="s">
        <v>20</v>
      </c>
      <c r="F40" s="1" t="s">
        <v>21</v>
      </c>
      <c r="G40" s="6">
        <f>J40/K3</f>
        <v>3631.25</v>
      </c>
      <c r="H40" s="5">
        <f>G40*H3</f>
        <v>36312.5</v>
      </c>
      <c r="I40" s="5"/>
      <c r="J40" s="5">
        <f>J32-M38</f>
        <v>290500</v>
      </c>
      <c r="K40" s="3"/>
      <c r="L40" s="3"/>
      <c r="M40" s="3"/>
    </row>
    <row r="41" spans="5:17" x14ac:dyDescent="0.2">
      <c r="G41" s="7"/>
      <c r="H41" s="3"/>
      <c r="I41" s="3"/>
      <c r="J41" s="3"/>
      <c r="K41" s="3"/>
      <c r="L41" s="3"/>
      <c r="M41" s="3"/>
    </row>
    <row r="42" spans="5:17" x14ac:dyDescent="0.2">
      <c r="G42" s="7"/>
      <c r="H42" s="3"/>
      <c r="I42" s="3"/>
      <c r="J42" s="3"/>
      <c r="K42" s="3"/>
      <c r="L42" s="5">
        <f>O42/K4</f>
        <v>546.71875</v>
      </c>
      <c r="M42" s="5">
        <f>H4*L42</f>
        <v>196818.75</v>
      </c>
      <c r="N42" s="4">
        <v>0</v>
      </c>
      <c r="O42" s="5">
        <f>O38-H40</f>
        <v>218687.5</v>
      </c>
    </row>
    <row r="43" spans="5:17" x14ac:dyDescent="0.2">
      <c r="G43" s="7"/>
      <c r="H43" s="3"/>
      <c r="I43" s="3"/>
      <c r="J43" s="3"/>
      <c r="K43" s="3"/>
      <c r="L43" s="3"/>
      <c r="M43" s="3"/>
    </row>
    <row r="44" spans="5:17" x14ac:dyDescent="0.2">
      <c r="E44" s="1" t="s">
        <v>22</v>
      </c>
      <c r="F44" s="1" t="s">
        <v>23</v>
      </c>
      <c r="G44" s="7"/>
      <c r="H44" s="3"/>
      <c r="I44" s="3"/>
      <c r="J44" s="3"/>
      <c r="K44" s="3"/>
      <c r="L44" s="5">
        <f>O44/K4</f>
        <v>455.9375</v>
      </c>
      <c r="M44" s="5">
        <f>H4*L44</f>
        <v>164137.5</v>
      </c>
      <c r="N44" s="4">
        <v>0</v>
      </c>
      <c r="O44" s="5">
        <f>O42-H40</f>
        <v>182375</v>
      </c>
    </row>
    <row r="45" spans="5:17" x14ac:dyDescent="0.2">
      <c r="G45" s="7"/>
      <c r="H45" s="3"/>
      <c r="I45" s="3"/>
      <c r="J45" s="3"/>
      <c r="K45" s="3"/>
      <c r="L45" s="3"/>
      <c r="M45" s="3"/>
    </row>
    <row r="46" spans="5:17" x14ac:dyDescent="0.2">
      <c r="E46" s="1" t="s">
        <v>24</v>
      </c>
      <c r="F46" s="1" t="s">
        <v>25</v>
      </c>
      <c r="G46" s="7"/>
      <c r="H46" s="3"/>
      <c r="I46" s="3"/>
      <c r="J46" s="3"/>
      <c r="K46" s="3"/>
      <c r="L46" s="5">
        <f>O46/K4</f>
        <v>365.15625</v>
      </c>
      <c r="M46" s="5">
        <f>H4*L46</f>
        <v>131456.25</v>
      </c>
      <c r="N46" s="4">
        <v>0</v>
      </c>
      <c r="O46" s="5">
        <f>O44-H40</f>
        <v>146062.5</v>
      </c>
    </row>
    <row r="47" spans="5:17" x14ac:dyDescent="0.2">
      <c r="G47" s="7"/>
      <c r="H47" s="3"/>
      <c r="I47" s="3"/>
      <c r="J47" s="3"/>
      <c r="K47" s="3"/>
      <c r="L47" s="3"/>
      <c r="M47" s="3"/>
    </row>
    <row r="48" spans="5:17" x14ac:dyDescent="0.2">
      <c r="E48" s="1" t="s">
        <v>26</v>
      </c>
      <c r="F48" s="1" t="s">
        <v>27</v>
      </c>
      <c r="G48" s="6">
        <f>J48/K3</f>
        <v>1988.046875</v>
      </c>
      <c r="H48" s="5">
        <f>G48*H3</f>
        <v>19880.46875</v>
      </c>
      <c r="I48" s="5"/>
      <c r="J48" s="5">
        <f>J40-M46</f>
        <v>159043.75</v>
      </c>
      <c r="K48" s="3"/>
      <c r="L48" s="5"/>
      <c r="M48" s="5"/>
      <c r="N48" s="4"/>
      <c r="O48" s="5"/>
    </row>
    <row r="49" spans="5:15" x14ac:dyDescent="0.2">
      <c r="H49" s="3"/>
      <c r="I49" s="3"/>
      <c r="J49" s="3"/>
      <c r="K49" s="3"/>
      <c r="L49" s="3"/>
      <c r="M49" s="3"/>
    </row>
    <row r="50" spans="5:15" x14ac:dyDescent="0.2">
      <c r="H50" s="3"/>
      <c r="I50" s="3"/>
      <c r="J50" s="3"/>
      <c r="K50" s="3"/>
      <c r="L50" s="5">
        <f>O50/K4</f>
        <v>315.455078125</v>
      </c>
      <c r="M50" s="5">
        <f>H4*L50</f>
        <v>113563.828125</v>
      </c>
      <c r="N50" s="4">
        <v>0</v>
      </c>
      <c r="O50" s="5">
        <f>O46-H48</f>
        <v>126182.03125</v>
      </c>
    </row>
    <row r="51" spans="5:15" x14ac:dyDescent="0.2">
      <c r="H51" s="3"/>
      <c r="I51" s="3"/>
      <c r="J51" s="3"/>
      <c r="K51" s="3"/>
      <c r="L51" s="3"/>
      <c r="M51" s="3"/>
    </row>
    <row r="52" spans="5:15" x14ac:dyDescent="0.2">
      <c r="E52" s="1" t="s">
        <v>28</v>
      </c>
      <c r="F52" s="1" t="s">
        <v>29</v>
      </c>
      <c r="H52" s="3"/>
      <c r="I52" s="3"/>
      <c r="J52" s="3"/>
      <c r="L52" s="5">
        <f>O52/K4</f>
        <v>265.75390625</v>
      </c>
      <c r="M52" s="5">
        <f>H4*L52</f>
        <v>95671.40625</v>
      </c>
      <c r="N52" s="4">
        <v>0</v>
      </c>
      <c r="O52" s="5">
        <f>O50-H48</f>
        <v>106301.5625</v>
      </c>
    </row>
    <row r="53" spans="5:15" x14ac:dyDescent="0.2">
      <c r="H53" s="3"/>
      <c r="I53" s="3"/>
      <c r="J53" s="3"/>
      <c r="K53" s="3"/>
      <c r="L53" s="3"/>
      <c r="M53" s="3"/>
    </row>
    <row r="54" spans="5:15" x14ac:dyDescent="0.2">
      <c r="E54" s="1" t="s">
        <v>30</v>
      </c>
      <c r="F54" s="1" t="s">
        <v>31</v>
      </c>
      <c r="H54" s="3"/>
      <c r="I54" s="3"/>
      <c r="J54" s="3"/>
      <c r="K54" s="3"/>
      <c r="L54" s="5">
        <f>O54/K4</f>
        <v>216.052734375</v>
      </c>
      <c r="M54" s="5">
        <f>H4*L54</f>
        <v>77778.984375</v>
      </c>
      <c r="N54" s="4">
        <v>0</v>
      </c>
      <c r="O54" s="5">
        <f>O52-H48</f>
        <v>86421.09375</v>
      </c>
    </row>
    <row r="55" spans="5:15" x14ac:dyDescent="0.2">
      <c r="H55" s="3"/>
      <c r="I55" s="3"/>
      <c r="J55" s="3"/>
      <c r="K55" s="3"/>
      <c r="L55" s="3"/>
      <c r="M55" s="3"/>
    </row>
    <row r="56" spans="5:15" x14ac:dyDescent="0.2">
      <c r="E56" s="1" t="s">
        <v>32</v>
      </c>
      <c r="F56" s="1" t="s">
        <v>33</v>
      </c>
      <c r="G56" s="6">
        <f>J56/K3</f>
        <v>1015.8095703125</v>
      </c>
      <c r="H56" s="5">
        <f>G56*H3</f>
        <v>10158.095703125</v>
      </c>
      <c r="I56" s="5"/>
      <c r="J56" s="5">
        <f>J48-M54</f>
        <v>81264.765625</v>
      </c>
      <c r="K56" s="3"/>
      <c r="L56" s="5"/>
      <c r="M56" s="5"/>
      <c r="N56" s="4"/>
      <c r="O56" s="5"/>
    </row>
    <row r="57" spans="5:15" x14ac:dyDescent="0.2">
      <c r="H57" s="3"/>
      <c r="I57" s="3"/>
      <c r="J57" s="3"/>
      <c r="K57" s="3"/>
      <c r="L57" s="3"/>
      <c r="M57" s="3"/>
    </row>
    <row r="58" spans="5:15" x14ac:dyDescent="0.2">
      <c r="H58" s="3"/>
      <c r="I58" s="3"/>
      <c r="J58" s="3"/>
      <c r="K58" s="3"/>
      <c r="L58" s="5">
        <f>O58/K4</f>
        <v>190.65749511718749</v>
      </c>
      <c r="M58" s="5">
        <f>H4*L58</f>
        <v>68636.6982421875</v>
      </c>
      <c r="N58" s="4">
        <v>0</v>
      </c>
      <c r="O58" s="5">
        <f>O54-H56</f>
        <v>76262.998046875</v>
      </c>
    </row>
    <row r="59" spans="5:15" x14ac:dyDescent="0.2">
      <c r="H59" s="3"/>
      <c r="I59" s="3"/>
      <c r="J59" s="3"/>
      <c r="K59" s="3"/>
      <c r="L59" s="3"/>
      <c r="M59" s="3"/>
    </row>
    <row r="60" spans="5:15" x14ac:dyDescent="0.2">
      <c r="H60" s="3"/>
      <c r="I60" s="3"/>
      <c r="J60" s="3"/>
      <c r="K60" s="3"/>
      <c r="L60" s="3"/>
      <c r="M60" s="3"/>
    </row>
    <row r="61" spans="5:15" x14ac:dyDescent="0.2">
      <c r="H61" s="3"/>
      <c r="I61" s="3"/>
      <c r="J61" s="3"/>
      <c r="K61" s="3"/>
      <c r="L61" s="3"/>
      <c r="M61" s="3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U2000"/>
  <sheetViews>
    <sheetView workbookViewId="0">
      <selection activeCell="E4" sqref="E4"/>
    </sheetView>
  </sheetViews>
  <sheetFormatPr defaultRowHeight="11.25" x14ac:dyDescent="0.2"/>
  <cols>
    <col min="1" max="16384" width="9" style="1"/>
  </cols>
  <sheetData>
    <row r="1" spans="1:33" x14ac:dyDescent="0.2">
      <c r="A1" s="1">
        <v>-25.200000762939453</v>
      </c>
      <c r="F1" s="1">
        <v>2</v>
      </c>
      <c r="G1" s="1">
        <v>2</v>
      </c>
      <c r="K1" s="1">
        <v>1</v>
      </c>
    </row>
    <row r="2" spans="1:33" x14ac:dyDescent="0.2">
      <c r="A2" s="1" t="s">
        <v>76</v>
      </c>
      <c r="C2" s="1" t="s">
        <v>1</v>
      </c>
      <c r="D2" s="1" t="s">
        <v>2</v>
      </c>
      <c r="E2" s="1" t="s">
        <v>3</v>
      </c>
      <c r="F2" s="1" t="s">
        <v>4</v>
      </c>
      <c r="G2" s="2" t="s">
        <v>5</v>
      </c>
      <c r="H2" s="8" t="s">
        <v>6</v>
      </c>
      <c r="I2" s="1" t="s">
        <v>47</v>
      </c>
      <c r="J2" s="1" t="s">
        <v>48</v>
      </c>
      <c r="K2" s="1" t="s">
        <v>8</v>
      </c>
      <c r="L2" s="27" t="s">
        <v>42</v>
      </c>
      <c r="M2" s="27" t="s">
        <v>9</v>
      </c>
      <c r="N2" s="63" t="s">
        <v>12</v>
      </c>
      <c r="O2" s="1" t="s">
        <v>46</v>
      </c>
      <c r="P2" s="1" t="s">
        <v>78</v>
      </c>
      <c r="Q2" s="1" t="s">
        <v>79</v>
      </c>
      <c r="R2" s="1" t="s">
        <v>378</v>
      </c>
      <c r="S2" s="1" t="s">
        <v>70</v>
      </c>
    </row>
    <row r="3" spans="1:33" x14ac:dyDescent="0.2">
      <c r="B3" s="21" t="s">
        <v>0</v>
      </c>
      <c r="C3" s="9">
        <v>75</v>
      </c>
      <c r="D3" s="9">
        <v>0</v>
      </c>
      <c r="E3" s="9">
        <v>10</v>
      </c>
      <c r="F3" s="66">
        <f>475*$F$1</f>
        <v>950</v>
      </c>
      <c r="G3" s="10">
        <f>1*$G$1</f>
        <v>2</v>
      </c>
      <c r="H3" s="11">
        <v>4.5</v>
      </c>
      <c r="I3" s="1" t="s">
        <v>49</v>
      </c>
      <c r="J3" s="1" t="s">
        <v>52</v>
      </c>
      <c r="K3" s="12">
        <v>20</v>
      </c>
      <c r="L3" s="73">
        <f>((C3*R3)/G3)*K3</f>
        <v>750</v>
      </c>
      <c r="M3" s="12">
        <f>K3*C3</f>
        <v>1500</v>
      </c>
      <c r="N3" s="13">
        <f>K3*(F3*R3)</f>
        <v>19000</v>
      </c>
      <c r="O3" s="7">
        <f t="shared" ref="O3:O11" si="0">C3/G3</f>
        <v>37.5</v>
      </c>
      <c r="P3" s="69">
        <f>F3/(C3-E3)</f>
        <v>14.615384615384615</v>
      </c>
      <c r="Q3" s="69">
        <f>P3*G3</f>
        <v>29.23076923076923</v>
      </c>
      <c r="R3" s="1">
        <v>1</v>
      </c>
      <c r="S3" s="29" t="s">
        <v>55</v>
      </c>
      <c r="T3" s="30" t="s">
        <v>56</v>
      </c>
      <c r="U3" s="30" t="s">
        <v>75</v>
      </c>
      <c r="V3" s="30" t="s">
        <v>58</v>
      </c>
      <c r="W3" s="30" t="s">
        <v>75</v>
      </c>
    </row>
    <row r="4" spans="1:33" x14ac:dyDescent="0.2">
      <c r="B4" s="22" t="s">
        <v>37</v>
      </c>
      <c r="C4" s="14">
        <v>10</v>
      </c>
      <c r="D4" s="14">
        <v>145</v>
      </c>
      <c r="E4" s="14">
        <v>3</v>
      </c>
      <c r="F4" s="67">
        <f>125*$F$1</f>
        <v>250</v>
      </c>
      <c r="G4" s="15">
        <f>1.5*$G$1</f>
        <v>3</v>
      </c>
      <c r="H4" s="8">
        <v>5</v>
      </c>
      <c r="I4" s="1" t="s">
        <v>49</v>
      </c>
      <c r="J4" s="1" t="s">
        <v>53</v>
      </c>
      <c r="K4" s="12">
        <v>20</v>
      </c>
      <c r="L4" s="74">
        <f>((K4*R4)*D4)/G4</f>
        <v>966.66666666666663</v>
      </c>
      <c r="M4" s="28">
        <f>K4*D4</f>
        <v>2900</v>
      </c>
      <c r="N4" s="58">
        <f t="shared" ref="N4:N11" si="1">K4*(F4*R4)</f>
        <v>5000</v>
      </c>
      <c r="O4" s="7">
        <f t="shared" si="0"/>
        <v>3.3333333333333335</v>
      </c>
      <c r="P4" s="69">
        <f>F4/(D4-E4)</f>
        <v>1.7605633802816902</v>
      </c>
      <c r="Q4" s="69">
        <f t="shared" ref="Q4:Q11" si="2">P4*G4</f>
        <v>5.2816901408450709</v>
      </c>
      <c r="R4" s="1">
        <v>1</v>
      </c>
      <c r="S4" s="25" t="s">
        <v>68</v>
      </c>
      <c r="T4" s="25" t="s">
        <v>71</v>
      </c>
      <c r="U4" s="25">
        <v>13</v>
      </c>
      <c r="V4" s="25" t="s">
        <v>69</v>
      </c>
      <c r="W4" s="25">
        <v>23.799999237060547</v>
      </c>
    </row>
    <row r="5" spans="1:33" x14ac:dyDescent="0.2">
      <c r="B5" s="23" t="s">
        <v>38</v>
      </c>
      <c r="C5" s="17">
        <v>110</v>
      </c>
      <c r="D5" s="17">
        <v>0</v>
      </c>
      <c r="E5" s="17">
        <v>6</v>
      </c>
      <c r="F5" s="68">
        <f>200*$F$1</f>
        <v>400</v>
      </c>
      <c r="G5" s="18">
        <f>1.3*$G$1</f>
        <v>2.6</v>
      </c>
      <c r="H5" s="19">
        <v>8</v>
      </c>
      <c r="I5" s="1" t="s">
        <v>49</v>
      </c>
      <c r="J5" s="1" t="s">
        <v>54</v>
      </c>
      <c r="K5" s="12">
        <v>20</v>
      </c>
      <c r="L5" s="73">
        <f>((C5*R5)/G5)*K5</f>
        <v>846.15384615384619</v>
      </c>
      <c r="M5" s="59">
        <f>K5*C5</f>
        <v>2200</v>
      </c>
      <c r="N5" s="60">
        <f t="shared" si="1"/>
        <v>8000</v>
      </c>
      <c r="O5" s="7">
        <f t="shared" si="0"/>
        <v>42.307692307692307</v>
      </c>
      <c r="P5" s="69">
        <f t="shared" ref="P5:P11" si="3">F5/(C5-E5)</f>
        <v>3.8461538461538463</v>
      </c>
      <c r="Q5" s="69">
        <f t="shared" si="2"/>
        <v>10</v>
      </c>
      <c r="R5" s="1">
        <v>1</v>
      </c>
      <c r="S5" s="214"/>
      <c r="T5" s="25" t="s">
        <v>72</v>
      </c>
      <c r="U5" s="25">
        <v>14</v>
      </c>
      <c r="V5" s="25" t="s">
        <v>73</v>
      </c>
      <c r="W5" s="25">
        <v>9.1000003814697266</v>
      </c>
    </row>
    <row r="6" spans="1:33" x14ac:dyDescent="0.2">
      <c r="B6" s="21" t="s">
        <v>36</v>
      </c>
      <c r="C6" s="9">
        <f>471*0.75</f>
        <v>353.25</v>
      </c>
      <c r="D6" s="9">
        <v>0</v>
      </c>
      <c r="E6" s="9">
        <v>8</v>
      </c>
      <c r="F6" s="66">
        <f>2150*$F$1</f>
        <v>4300</v>
      </c>
      <c r="G6" s="10">
        <f>1.2*$G$1</f>
        <v>2.4</v>
      </c>
      <c r="H6" s="11">
        <v>5.0999999999999996</v>
      </c>
      <c r="I6" s="1" t="s">
        <v>50</v>
      </c>
      <c r="J6" s="1" t="s">
        <v>52</v>
      </c>
      <c r="K6" s="12">
        <v>4</v>
      </c>
      <c r="L6" s="73">
        <f t="shared" ref="L6" si="4">((C6*R6)/G6)*K6</f>
        <v>588.75</v>
      </c>
      <c r="M6" s="61">
        <f>K6*C6</f>
        <v>1413</v>
      </c>
      <c r="N6" s="64">
        <f t="shared" si="1"/>
        <v>17200</v>
      </c>
      <c r="O6" s="7">
        <f t="shared" si="0"/>
        <v>147.1875</v>
      </c>
      <c r="P6" s="69">
        <f t="shared" si="3"/>
        <v>12.454742939898624</v>
      </c>
      <c r="Q6" s="69">
        <f t="shared" si="2"/>
        <v>29.891383055756698</v>
      </c>
      <c r="R6" s="1">
        <v>1</v>
      </c>
      <c r="S6" s="214"/>
      <c r="T6" s="25" t="s">
        <v>74</v>
      </c>
      <c r="U6" s="25">
        <v>20</v>
      </c>
      <c r="V6" s="25"/>
      <c r="W6" s="25"/>
    </row>
    <row r="7" spans="1:33" x14ac:dyDescent="0.2">
      <c r="B7" s="22" t="s">
        <v>40</v>
      </c>
      <c r="C7" s="14">
        <v>100</v>
      </c>
      <c r="D7" s="14">
        <v>400</v>
      </c>
      <c r="E7" s="14">
        <v>5</v>
      </c>
      <c r="F7" s="67">
        <f>750*$F$1</f>
        <v>1500</v>
      </c>
      <c r="G7" s="15">
        <f>1.3*$G$1</f>
        <v>2.6</v>
      </c>
      <c r="H7" s="8">
        <v>6</v>
      </c>
      <c r="I7" s="1" t="s">
        <v>50</v>
      </c>
      <c r="J7" s="1" t="s">
        <v>53</v>
      </c>
      <c r="K7" s="16">
        <v>4</v>
      </c>
      <c r="L7" s="74">
        <f t="shared" ref="L7" si="5">((K7*R7)*D7)/G7</f>
        <v>615.38461538461536</v>
      </c>
      <c r="M7" s="28">
        <f>K7*D7</f>
        <v>1600</v>
      </c>
      <c r="N7" s="58">
        <f t="shared" si="1"/>
        <v>6000</v>
      </c>
      <c r="O7" s="7">
        <f t="shared" si="0"/>
        <v>38.46153846153846</v>
      </c>
      <c r="P7" s="69">
        <f>F7/(D7-E7)</f>
        <v>3.7974683544303796</v>
      </c>
      <c r="Q7" s="69">
        <f t="shared" si="2"/>
        <v>9.8734177215189867</v>
      </c>
      <c r="R7" s="1">
        <v>1</v>
      </c>
      <c r="S7" s="214"/>
      <c r="T7" s="25"/>
      <c r="U7" s="25"/>
      <c r="V7" s="25"/>
      <c r="W7" s="25"/>
    </row>
    <row r="8" spans="1:33" x14ac:dyDescent="0.2">
      <c r="B8" s="23" t="s">
        <v>39</v>
      </c>
      <c r="C8" s="17">
        <v>485</v>
      </c>
      <c r="D8" s="17">
        <v>0</v>
      </c>
      <c r="E8" s="17">
        <v>5</v>
      </c>
      <c r="F8" s="68">
        <f>825*$F$1</f>
        <v>1650</v>
      </c>
      <c r="G8" s="18">
        <f>1.1*$G$1</f>
        <v>2.2000000000000002</v>
      </c>
      <c r="H8" s="19">
        <v>7</v>
      </c>
      <c r="I8" s="1" t="s">
        <v>50</v>
      </c>
      <c r="J8" s="1" t="s">
        <v>54</v>
      </c>
      <c r="K8" s="20">
        <v>4</v>
      </c>
      <c r="L8" s="26">
        <f t="shared" ref="L8:L9" si="6">((C8*R8)/G8)*K8</f>
        <v>881.81818181818176</v>
      </c>
      <c r="M8" s="59">
        <f>K8*C8</f>
        <v>1940</v>
      </c>
      <c r="N8" s="60">
        <f t="shared" si="1"/>
        <v>6600</v>
      </c>
      <c r="O8" s="7">
        <f t="shared" si="0"/>
        <v>220.45454545454544</v>
      </c>
      <c r="P8" s="69">
        <f t="shared" si="3"/>
        <v>3.4375</v>
      </c>
      <c r="Q8" s="69">
        <f t="shared" si="2"/>
        <v>7.5625000000000009</v>
      </c>
      <c r="R8" s="1">
        <v>1</v>
      </c>
      <c r="S8" s="214"/>
      <c r="T8" s="25"/>
      <c r="U8" s="25"/>
      <c r="V8" s="25"/>
      <c r="W8" s="25"/>
    </row>
    <row r="9" spans="1:33" x14ac:dyDescent="0.2">
      <c r="B9" s="21" t="s">
        <v>35</v>
      </c>
      <c r="C9" s="9">
        <f>2700*0.5</f>
        <v>1350</v>
      </c>
      <c r="D9" s="9">
        <v>0</v>
      </c>
      <c r="E9" s="9">
        <v>15</v>
      </c>
      <c r="F9" s="66">
        <f>10000*$F$1</f>
        <v>20000</v>
      </c>
      <c r="G9" s="10">
        <f>2*$G$1</f>
        <v>4</v>
      </c>
      <c r="H9" s="11">
        <v>2.25</v>
      </c>
      <c r="I9" s="1" t="s">
        <v>51</v>
      </c>
      <c r="J9" s="1" t="s">
        <v>52</v>
      </c>
      <c r="K9" s="12">
        <v>1</v>
      </c>
      <c r="L9" s="73">
        <f t="shared" si="6"/>
        <v>337.5</v>
      </c>
      <c r="M9" s="61">
        <f>K9*C9</f>
        <v>1350</v>
      </c>
      <c r="N9" s="62">
        <f t="shared" si="1"/>
        <v>20000</v>
      </c>
      <c r="O9" s="7">
        <f t="shared" si="0"/>
        <v>337.5</v>
      </c>
      <c r="P9" s="69">
        <f t="shared" si="3"/>
        <v>14.9812734082397</v>
      </c>
      <c r="Q9" s="69">
        <f t="shared" si="2"/>
        <v>59.925093632958799</v>
      </c>
      <c r="R9" s="1">
        <v>1</v>
      </c>
      <c r="S9" s="214"/>
      <c r="T9" s="25"/>
      <c r="U9" s="25"/>
      <c r="V9" s="25"/>
      <c r="W9" s="25"/>
    </row>
    <row r="10" spans="1:33" x14ac:dyDescent="0.2">
      <c r="B10" s="22" t="s">
        <v>41</v>
      </c>
      <c r="C10" s="14">
        <v>200</v>
      </c>
      <c r="D10" s="14">
        <f>3250/2</f>
        <v>1625</v>
      </c>
      <c r="E10" s="14">
        <v>7</v>
      </c>
      <c r="F10" s="67">
        <f>2750*$F$1</f>
        <v>5500</v>
      </c>
      <c r="G10" s="15">
        <f>1.8*$G$1</f>
        <v>3.6</v>
      </c>
      <c r="H10" s="8">
        <v>3</v>
      </c>
      <c r="I10" s="1" t="s">
        <v>51</v>
      </c>
      <c r="J10" s="1" t="s">
        <v>53</v>
      </c>
      <c r="K10" s="16">
        <v>1</v>
      </c>
      <c r="L10" s="74">
        <f t="shared" ref="L10" si="7">((K10*R10)*D10)/G10</f>
        <v>451.38888888888886</v>
      </c>
      <c r="M10" s="28">
        <f>K10*D10</f>
        <v>1625</v>
      </c>
      <c r="N10" s="58">
        <f t="shared" si="1"/>
        <v>5500</v>
      </c>
      <c r="O10" s="7">
        <f t="shared" si="0"/>
        <v>55.555555555555557</v>
      </c>
      <c r="P10" s="69">
        <f>F10/(D10-E10)</f>
        <v>3.3992583436341164</v>
      </c>
      <c r="Q10" s="69">
        <f t="shared" si="2"/>
        <v>12.237330037082819</v>
      </c>
      <c r="R10" s="1">
        <v>1</v>
      </c>
      <c r="S10" s="25"/>
      <c r="T10" s="25"/>
      <c r="U10" s="25"/>
      <c r="V10" s="25"/>
      <c r="W10" s="25"/>
    </row>
    <row r="11" spans="1:33" x14ac:dyDescent="0.2">
      <c r="B11" s="23" t="s">
        <v>7</v>
      </c>
      <c r="C11" s="17">
        <f>3850/2</f>
        <v>1925</v>
      </c>
      <c r="D11" s="17">
        <v>0</v>
      </c>
      <c r="E11" s="17">
        <v>6</v>
      </c>
      <c r="F11" s="68">
        <f>3500*$F$1</f>
        <v>7000</v>
      </c>
      <c r="G11" s="18">
        <f>2.4*$G$1</f>
        <v>4.8</v>
      </c>
      <c r="H11" s="19">
        <v>10</v>
      </c>
      <c r="I11" s="1" t="s">
        <v>51</v>
      </c>
      <c r="J11" s="1" t="s">
        <v>54</v>
      </c>
      <c r="K11" s="20">
        <v>1</v>
      </c>
      <c r="L11" s="26">
        <f t="shared" ref="L11" si="8">((C11*R11)/G11)*K11</f>
        <v>401.04166666666669</v>
      </c>
      <c r="M11" s="26">
        <f>K11*C11</f>
        <v>1925</v>
      </c>
      <c r="N11" s="60">
        <f t="shared" si="1"/>
        <v>7000</v>
      </c>
      <c r="O11" s="7">
        <f t="shared" si="0"/>
        <v>401.04166666666669</v>
      </c>
      <c r="P11" s="69">
        <f t="shared" si="3"/>
        <v>3.6477331943720688</v>
      </c>
      <c r="Q11" s="69">
        <f t="shared" si="2"/>
        <v>17.509119332985929</v>
      </c>
      <c r="R11" s="1">
        <v>1</v>
      </c>
      <c r="S11" s="214"/>
      <c r="T11" s="201">
        <v>1500</v>
      </c>
      <c r="U11" s="25"/>
      <c r="V11" s="25"/>
      <c r="W11" s="25"/>
    </row>
    <row r="12" spans="1:33" x14ac:dyDescent="0.2">
      <c r="S12" s="214"/>
      <c r="T12" s="201">
        <v>1933.3333333333333</v>
      </c>
      <c r="U12" s="25"/>
      <c r="V12" s="25"/>
      <c r="W12" s="25"/>
    </row>
    <row r="13" spans="1:33" x14ac:dyDescent="0.2">
      <c r="L13" s="1">
        <f>L11/L8</f>
        <v>0.45478951890034369</v>
      </c>
      <c r="N13" s="1">
        <f>N9/N6</f>
        <v>1.1627906976744187</v>
      </c>
      <c r="S13" s="214"/>
      <c r="T13" s="201">
        <v>1692.3076923076924</v>
      </c>
      <c r="U13" s="25"/>
      <c r="V13" s="25"/>
      <c r="W13" s="25"/>
    </row>
    <row r="14" spans="1:33" x14ac:dyDescent="0.2">
      <c r="E14" s="1" t="s">
        <v>43</v>
      </c>
      <c r="F14" s="1" t="s">
        <v>8</v>
      </c>
      <c r="J14" s="1" t="s">
        <v>45</v>
      </c>
      <c r="K14" s="1" t="s">
        <v>8</v>
      </c>
      <c r="L14" s="1">
        <f>L5/L3</f>
        <v>1.1282051282051282</v>
      </c>
      <c r="S14" s="214"/>
      <c r="T14" s="201">
        <v>1177.5</v>
      </c>
      <c r="U14" s="25"/>
      <c r="V14" s="25"/>
      <c r="W14" s="25"/>
    </row>
    <row r="15" spans="1:33" x14ac:dyDescent="0.2">
      <c r="E15" s="1" t="s">
        <v>35</v>
      </c>
      <c r="F15" s="7">
        <v>1</v>
      </c>
      <c r="J15" s="1" t="s">
        <v>328</v>
      </c>
      <c r="K15" s="7">
        <v>5</v>
      </c>
      <c r="M15" s="1" t="s">
        <v>77</v>
      </c>
      <c r="S15" s="214"/>
      <c r="T15" s="201">
        <v>1230.7692307692307</v>
      </c>
      <c r="U15" s="25"/>
      <c r="V15" s="25"/>
      <c r="W15" s="25"/>
    </row>
    <row r="16" spans="1:33" x14ac:dyDescent="0.2">
      <c r="C16" s="1" t="s">
        <v>44</v>
      </c>
      <c r="F16" s="1" t="s">
        <v>4</v>
      </c>
      <c r="K16" s="1" t="s">
        <v>4</v>
      </c>
      <c r="M16" s="1" t="s">
        <v>422</v>
      </c>
      <c r="S16" s="25"/>
      <c r="T16" s="201">
        <v>1763.6363636363635</v>
      </c>
      <c r="U16" s="25"/>
      <c r="V16" s="25"/>
      <c r="W16" s="25"/>
      <c r="AG16" s="7"/>
    </row>
    <row r="17" spans="1:47" x14ac:dyDescent="0.2">
      <c r="C17" s="25"/>
      <c r="D17" s="25"/>
      <c r="E17" s="25" t="s">
        <v>329</v>
      </c>
      <c r="F17" s="25">
        <v>7000</v>
      </c>
      <c r="G17" s="25"/>
      <c r="H17" s="25"/>
      <c r="I17" s="25"/>
      <c r="J17" s="25" t="s">
        <v>330</v>
      </c>
      <c r="K17" s="25">
        <v>1400</v>
      </c>
      <c r="L17" s="25"/>
      <c r="M17" s="1" t="s">
        <v>421</v>
      </c>
      <c r="S17" s="214"/>
      <c r="T17" s="201">
        <v>675</v>
      </c>
      <c r="U17" s="25"/>
      <c r="V17" s="25"/>
      <c r="W17" s="25"/>
      <c r="Y17" s="1" t="s">
        <v>80</v>
      </c>
    </row>
    <row r="18" spans="1:47" x14ac:dyDescent="0.2">
      <c r="C18" s="25"/>
      <c r="D18" s="25"/>
      <c r="E18" s="25"/>
      <c r="F18" s="25"/>
      <c r="G18" s="25"/>
      <c r="H18" s="25">
        <f>G3*2</f>
        <v>4</v>
      </c>
      <c r="I18" s="25"/>
      <c r="J18" s="25" t="s">
        <v>331</v>
      </c>
      <c r="K18" s="25">
        <v>1400</v>
      </c>
      <c r="L18" s="25"/>
      <c r="M18" s="1" t="s">
        <v>105</v>
      </c>
      <c r="S18" s="214"/>
      <c r="T18" s="201">
        <v>902.77777777777771</v>
      </c>
      <c r="U18" s="25"/>
      <c r="V18" s="25"/>
      <c r="W18" s="25"/>
      <c r="Y18" s="1" t="s">
        <v>81</v>
      </c>
      <c r="AC18" s="25"/>
      <c r="AD18" s="25"/>
      <c r="AE18" s="25"/>
      <c r="AF18" s="25"/>
      <c r="AG18" s="25"/>
    </row>
    <row r="19" spans="1:47" x14ac:dyDescent="0.2">
      <c r="C19" s="25"/>
      <c r="D19" s="25"/>
      <c r="E19" s="25"/>
      <c r="F19" s="25"/>
      <c r="G19" s="25"/>
      <c r="H19" s="25">
        <f t="shared" ref="H19:H26" si="9">G4*2</f>
        <v>6</v>
      </c>
      <c r="I19" s="25"/>
      <c r="J19" s="25" t="s">
        <v>332</v>
      </c>
      <c r="K19" s="25">
        <v>1400</v>
      </c>
      <c r="L19" s="25"/>
      <c r="M19" s="25" t="s">
        <v>106</v>
      </c>
      <c r="S19" s="214"/>
      <c r="T19" s="201">
        <v>802.08333333333337</v>
      </c>
      <c r="U19" s="25"/>
      <c r="V19" s="25"/>
      <c r="W19" s="25"/>
      <c r="Y19" s="1" t="s">
        <v>82</v>
      </c>
      <c r="AC19" s="25"/>
      <c r="AD19" s="25"/>
      <c r="AE19" s="25"/>
      <c r="AF19" s="25"/>
      <c r="AG19" s="25"/>
      <c r="AT19" s="25"/>
      <c r="AU19" s="25"/>
    </row>
    <row r="20" spans="1:47" x14ac:dyDescent="0.2">
      <c r="C20" s="25"/>
      <c r="D20" s="25"/>
      <c r="E20" s="25"/>
      <c r="F20" s="25"/>
      <c r="G20" s="25"/>
      <c r="H20" s="25">
        <f t="shared" si="9"/>
        <v>5.2</v>
      </c>
      <c r="I20" s="25"/>
      <c r="J20" s="25" t="s">
        <v>333</v>
      </c>
      <c r="K20" s="25">
        <v>1400</v>
      </c>
      <c r="L20" s="25"/>
      <c r="M20" s="1" t="s">
        <v>107</v>
      </c>
      <c r="S20" s="214"/>
      <c r="T20" s="25"/>
      <c r="U20" s="25"/>
      <c r="V20" s="25"/>
      <c r="W20" s="25"/>
      <c r="Y20" s="1" t="s">
        <v>83</v>
      </c>
      <c r="AC20" s="25"/>
      <c r="AD20" s="25"/>
      <c r="AE20" s="25"/>
      <c r="AF20" s="24"/>
      <c r="AG20" s="24"/>
      <c r="AT20" s="25"/>
      <c r="AU20" s="25"/>
    </row>
    <row r="21" spans="1:47" x14ac:dyDescent="0.2">
      <c r="C21" s="25"/>
      <c r="D21" s="25"/>
      <c r="E21" s="25"/>
      <c r="F21" s="25"/>
      <c r="G21" s="25"/>
      <c r="H21" s="25">
        <f t="shared" si="9"/>
        <v>4.8</v>
      </c>
      <c r="I21" s="25"/>
      <c r="J21" s="25" t="s">
        <v>334</v>
      </c>
      <c r="K21" s="25">
        <v>1400</v>
      </c>
      <c r="L21" s="25"/>
      <c r="M21" s="1" t="s">
        <v>108</v>
      </c>
      <c r="S21" s="214"/>
      <c r="T21" s="25"/>
      <c r="U21" s="25"/>
      <c r="V21" s="25"/>
      <c r="W21" s="25"/>
      <c r="Y21" s="1" t="s">
        <v>84</v>
      </c>
      <c r="Z21" s="1" t="s">
        <v>86</v>
      </c>
      <c r="AC21" s="57"/>
      <c r="AD21" s="25"/>
      <c r="AE21" s="25"/>
      <c r="AF21" s="25"/>
      <c r="AG21" s="25"/>
      <c r="AT21" s="25"/>
      <c r="AU21" s="25"/>
    </row>
    <row r="22" spans="1:47" x14ac:dyDescent="0.2">
      <c r="C22" s="25"/>
      <c r="D22" s="25"/>
      <c r="E22" s="25"/>
      <c r="F22" s="25"/>
      <c r="G22" s="25"/>
      <c r="H22" s="25">
        <f t="shared" si="9"/>
        <v>5.2</v>
      </c>
      <c r="I22" s="25"/>
      <c r="J22" s="25"/>
      <c r="K22" s="25"/>
      <c r="L22" s="25"/>
      <c r="M22" s="1" t="s">
        <v>139</v>
      </c>
      <c r="S22" s="25"/>
      <c r="T22" s="25"/>
      <c r="U22" s="25"/>
      <c r="V22" s="25"/>
      <c r="W22" s="25"/>
      <c r="Y22" s="1" t="s">
        <v>85</v>
      </c>
      <c r="Z22" s="1" t="s">
        <v>87</v>
      </c>
      <c r="AC22" s="57"/>
      <c r="AD22" s="25"/>
      <c r="AE22" s="25"/>
      <c r="AF22" s="25"/>
      <c r="AG22" s="25"/>
      <c r="AT22" s="57"/>
      <c r="AU22" s="25"/>
    </row>
    <row r="23" spans="1:47" x14ac:dyDescent="0.2">
      <c r="A23" s="1">
        <f>F3*0.5</f>
        <v>475</v>
      </c>
      <c r="C23" s="25">
        <v>1</v>
      </c>
      <c r="D23" s="25">
        <v>0</v>
      </c>
      <c r="E23" s="25" t="s">
        <v>329</v>
      </c>
      <c r="F23" s="24">
        <v>6600</v>
      </c>
      <c r="G23" s="25"/>
      <c r="H23" s="25">
        <f t="shared" si="9"/>
        <v>4.4000000000000004</v>
      </c>
      <c r="I23" s="25"/>
      <c r="J23" s="25" t="s">
        <v>330</v>
      </c>
      <c r="K23" s="25">
        <v>1400</v>
      </c>
      <c r="L23" s="25"/>
      <c r="M23" s="1" t="s">
        <v>140</v>
      </c>
      <c r="S23" s="214"/>
      <c r="T23" s="25"/>
      <c r="U23" s="25"/>
      <c r="V23" s="25"/>
      <c r="W23" s="25"/>
      <c r="AC23" s="57"/>
      <c r="AD23" s="25"/>
      <c r="AE23" s="25"/>
      <c r="AF23" s="25"/>
      <c r="AG23" s="25"/>
      <c r="AT23" s="57"/>
      <c r="AU23" s="25"/>
    </row>
    <row r="24" spans="1:47" x14ac:dyDescent="0.2">
      <c r="A24" s="1">
        <f t="shared" ref="A24:A31" si="10">F4*0.5</f>
        <v>125</v>
      </c>
      <c r="C24" s="25"/>
      <c r="D24" s="25"/>
      <c r="E24" s="25"/>
      <c r="F24" s="25"/>
      <c r="G24" s="25"/>
      <c r="H24" s="25">
        <f t="shared" si="9"/>
        <v>8</v>
      </c>
      <c r="I24" s="25"/>
      <c r="J24" s="25" t="s">
        <v>331</v>
      </c>
      <c r="K24" s="25">
        <v>1400</v>
      </c>
      <c r="L24" s="25"/>
      <c r="M24" s="25" t="s">
        <v>109</v>
      </c>
      <c r="S24" s="214"/>
      <c r="T24" s="25"/>
      <c r="U24" s="25"/>
      <c r="V24" s="25"/>
      <c r="W24" s="25"/>
      <c r="Y24" s="1" t="s">
        <v>88</v>
      </c>
      <c r="AC24" s="25"/>
      <c r="AD24" s="25"/>
      <c r="AE24" s="25"/>
      <c r="AF24" s="25"/>
      <c r="AG24" s="4"/>
      <c r="AT24" s="57"/>
      <c r="AU24" s="25"/>
    </row>
    <row r="25" spans="1:47" x14ac:dyDescent="0.2">
      <c r="A25" s="1">
        <f t="shared" si="10"/>
        <v>200</v>
      </c>
      <c r="C25" s="25"/>
      <c r="D25" s="25"/>
      <c r="E25" s="25"/>
      <c r="F25" s="25"/>
      <c r="G25" s="25"/>
      <c r="H25" s="25">
        <f t="shared" si="9"/>
        <v>7.2</v>
      </c>
      <c r="I25" s="25"/>
      <c r="J25" s="25" t="s">
        <v>332</v>
      </c>
      <c r="K25" s="25">
        <v>1400</v>
      </c>
      <c r="L25" s="25"/>
      <c r="M25" s="25" t="s">
        <v>110</v>
      </c>
      <c r="P25" s="66"/>
      <c r="Q25" s="66"/>
      <c r="R25" s="66"/>
      <c r="S25" s="214"/>
      <c r="T25" s="25"/>
      <c r="U25" s="25"/>
      <c r="V25" s="25"/>
      <c r="W25" s="25"/>
      <c r="Y25" s="1" t="s">
        <v>89</v>
      </c>
      <c r="AC25" s="25"/>
      <c r="AD25" s="25"/>
      <c r="AE25" s="25"/>
      <c r="AF25" s="25"/>
      <c r="AG25" s="25"/>
      <c r="AT25" s="25"/>
      <c r="AU25" s="25"/>
    </row>
    <row r="26" spans="1:47" x14ac:dyDescent="0.2">
      <c r="A26" s="1">
        <f t="shared" si="10"/>
        <v>2150</v>
      </c>
      <c r="C26" s="25"/>
      <c r="D26" s="25"/>
      <c r="E26" s="25"/>
      <c r="F26" s="25"/>
      <c r="G26" s="25"/>
      <c r="H26" s="25">
        <f t="shared" si="9"/>
        <v>9.6</v>
      </c>
      <c r="I26" s="25"/>
      <c r="J26" s="25" t="s">
        <v>333</v>
      </c>
      <c r="K26" s="25">
        <v>1400</v>
      </c>
      <c r="L26" s="25"/>
      <c r="M26" s="25" t="s">
        <v>114</v>
      </c>
      <c r="N26" s="66"/>
      <c r="O26" s="66"/>
      <c r="P26" s="66"/>
      <c r="S26" s="214"/>
      <c r="T26" s="25"/>
      <c r="U26" s="25"/>
      <c r="V26" s="25"/>
      <c r="W26" s="25"/>
      <c r="Z26" s="1" t="s">
        <v>91</v>
      </c>
      <c r="AA26" s="1" t="s">
        <v>95</v>
      </c>
      <c r="AB26" s="1" t="s">
        <v>92</v>
      </c>
      <c r="AC26" s="1" t="s">
        <v>90</v>
      </c>
      <c r="AD26" s="1" t="s">
        <v>93</v>
      </c>
      <c r="AE26" s="1" t="s">
        <v>94</v>
      </c>
      <c r="AF26" s="24" t="s">
        <v>96</v>
      </c>
      <c r="AG26" s="1" t="s">
        <v>97</v>
      </c>
      <c r="AH26" s="1" t="s">
        <v>98</v>
      </c>
      <c r="AJ26" s="1" t="s">
        <v>91</v>
      </c>
      <c r="AK26" s="1" t="s">
        <v>95</v>
      </c>
      <c r="AL26" s="1" t="s">
        <v>92</v>
      </c>
      <c r="AM26" s="1" t="s">
        <v>90</v>
      </c>
      <c r="AN26" s="1" t="s">
        <v>93</v>
      </c>
      <c r="AO26" s="1" t="s">
        <v>94</v>
      </c>
      <c r="AP26" s="24" t="s">
        <v>96</v>
      </c>
      <c r="AQ26" s="1" t="s">
        <v>97</v>
      </c>
      <c r="AT26" s="25"/>
      <c r="AU26" s="25"/>
    </row>
    <row r="27" spans="1:47" x14ac:dyDescent="0.2">
      <c r="A27" s="1">
        <f t="shared" si="10"/>
        <v>750</v>
      </c>
      <c r="C27" s="25"/>
      <c r="D27" s="25"/>
      <c r="E27" s="25"/>
      <c r="F27" s="25"/>
      <c r="G27" s="25"/>
      <c r="H27" s="25"/>
      <c r="I27" s="25"/>
      <c r="J27" s="25" t="s">
        <v>334</v>
      </c>
      <c r="K27" s="25">
        <v>1400</v>
      </c>
      <c r="L27" s="25"/>
      <c r="M27" s="1" t="s">
        <v>111</v>
      </c>
      <c r="N27" s="66"/>
      <c r="O27" s="66"/>
      <c r="P27" s="66"/>
      <c r="S27" s="214"/>
      <c r="T27" s="25"/>
      <c r="U27" s="25"/>
      <c r="V27" s="25"/>
      <c r="W27" s="25"/>
      <c r="Y27" s="1" t="s">
        <v>84</v>
      </c>
      <c r="Z27" s="1">
        <v>1000</v>
      </c>
      <c r="AA27" s="1">
        <v>1000</v>
      </c>
      <c r="AB27" s="71">
        <v>0</v>
      </c>
      <c r="AC27" s="1">
        <f>Z27*(100%-AB27)</f>
        <v>1000</v>
      </c>
      <c r="AD27" s="25">
        <f>Z27*AB27</f>
        <v>0</v>
      </c>
      <c r="AE27" s="25">
        <f>AC27*1</f>
        <v>1000</v>
      </c>
      <c r="AF27" s="25">
        <f>ROUNDUP(AA27/AC27,0)*4</f>
        <v>4</v>
      </c>
      <c r="AG27" s="1">
        <f>AF27/1</f>
        <v>4</v>
      </c>
      <c r="AH27" s="1" t="b">
        <f>AG27&lt;AQ27</f>
        <v>1</v>
      </c>
      <c r="AI27" s="1" t="s">
        <v>85</v>
      </c>
      <c r="AJ27" s="1">
        <v>250</v>
      </c>
      <c r="AK27" s="1">
        <v>4000</v>
      </c>
      <c r="AL27" s="71">
        <v>0</v>
      </c>
      <c r="AM27" s="1">
        <f>INT((AJ27*(100%-AL27)) * 0.75)</f>
        <v>187</v>
      </c>
      <c r="AN27" s="25">
        <f>AJ27*AL27</f>
        <v>0</v>
      </c>
      <c r="AO27" s="25">
        <f>AM27*4</f>
        <v>748</v>
      </c>
      <c r="AP27" s="25">
        <f>ROUNDUP(AK27/AM27,0)</f>
        <v>22</v>
      </c>
      <c r="AQ27" s="25">
        <f>ROUNDUP(AP27/4,0)</f>
        <v>6</v>
      </c>
      <c r="AT27" s="25"/>
      <c r="AU27" s="25"/>
    </row>
    <row r="28" spans="1:47" x14ac:dyDescent="0.2">
      <c r="A28" s="1">
        <f t="shared" si="10"/>
        <v>825</v>
      </c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1" t="s">
        <v>423</v>
      </c>
      <c r="N28" s="66"/>
      <c r="O28" s="66"/>
      <c r="P28" s="66"/>
      <c r="S28" s="214"/>
      <c r="T28" s="25"/>
      <c r="U28" s="25"/>
      <c r="V28" s="25"/>
      <c r="W28" s="25"/>
      <c r="Y28" s="1" t="s">
        <v>84</v>
      </c>
      <c r="Z28" s="1">
        <v>1000</v>
      </c>
      <c r="AA28" s="1">
        <v>1000</v>
      </c>
      <c r="AB28" s="71">
        <v>0.05</v>
      </c>
      <c r="AC28" s="1">
        <f t="shared" ref="AC28:AC37" si="11">Z28*(100%-AB28)</f>
        <v>950</v>
      </c>
      <c r="AD28" s="25">
        <f t="shared" ref="AD28:AD37" si="12">Z28*AB28</f>
        <v>50</v>
      </c>
      <c r="AE28" s="25">
        <f t="shared" ref="AE28:AE37" si="13">AC28*1</f>
        <v>950</v>
      </c>
      <c r="AF28" s="25">
        <f t="shared" ref="AF28:AF37" si="14">ROUNDUP(AA28/AC28,0)*4</f>
        <v>8</v>
      </c>
      <c r="AG28" s="1">
        <f t="shared" ref="AG28:AG73" si="15">AF28/1</f>
        <v>8</v>
      </c>
      <c r="AH28" s="1" t="b">
        <f t="shared" ref="AH28:AH47" si="16">AG28&lt;AQ28</f>
        <v>0</v>
      </c>
      <c r="AI28" s="1" t="s">
        <v>85</v>
      </c>
      <c r="AJ28" s="1">
        <v>250</v>
      </c>
      <c r="AK28" s="1">
        <v>4000</v>
      </c>
      <c r="AL28" s="71">
        <v>0.05</v>
      </c>
      <c r="AM28" s="1">
        <f t="shared" ref="AM28:AM37" si="17">INT((AJ28*(100%-AL28)) * 0.75)</f>
        <v>178</v>
      </c>
      <c r="AN28" s="25">
        <f t="shared" ref="AN28:AN37" si="18">AJ28*AL28</f>
        <v>12.5</v>
      </c>
      <c r="AO28" s="25">
        <f t="shared" ref="AO28:AO37" si="19">AM28*4</f>
        <v>712</v>
      </c>
      <c r="AP28" s="25">
        <f t="shared" ref="AP28:AP37" si="20">ROUNDUP(AK28/AM28,0)</f>
        <v>23</v>
      </c>
      <c r="AQ28" s="25">
        <f t="shared" ref="AQ28:AQ47" si="21">ROUNDUP(AP28/4,0)</f>
        <v>6</v>
      </c>
      <c r="AT28" s="57"/>
      <c r="AU28" s="25"/>
    </row>
    <row r="29" spans="1:47" x14ac:dyDescent="0.2">
      <c r="A29" s="1">
        <f t="shared" si="10"/>
        <v>10000</v>
      </c>
      <c r="C29" s="25"/>
      <c r="D29" s="25"/>
      <c r="E29" s="25" t="s">
        <v>329</v>
      </c>
      <c r="F29" s="25">
        <v>6600</v>
      </c>
      <c r="G29" s="25"/>
      <c r="H29" s="25"/>
      <c r="I29" s="25"/>
      <c r="J29" s="25" t="s">
        <v>330</v>
      </c>
      <c r="K29" s="24">
        <v>925</v>
      </c>
      <c r="L29" s="25"/>
      <c r="M29" s="1" t="s">
        <v>112</v>
      </c>
      <c r="N29" s="66"/>
      <c r="O29" s="66"/>
      <c r="P29" s="66"/>
      <c r="S29" s="25"/>
      <c r="T29" s="25"/>
      <c r="U29" s="25"/>
      <c r="V29" s="25"/>
      <c r="W29" s="25"/>
      <c r="Y29" s="1" t="s">
        <v>84</v>
      </c>
      <c r="Z29" s="1">
        <v>1000</v>
      </c>
      <c r="AA29" s="1">
        <v>1000</v>
      </c>
      <c r="AB29" s="71">
        <v>0.1</v>
      </c>
      <c r="AC29" s="1">
        <f t="shared" si="11"/>
        <v>900</v>
      </c>
      <c r="AD29" s="25">
        <f t="shared" si="12"/>
        <v>100</v>
      </c>
      <c r="AE29" s="25">
        <f t="shared" si="13"/>
        <v>900</v>
      </c>
      <c r="AF29" s="25">
        <f t="shared" si="14"/>
        <v>8</v>
      </c>
      <c r="AG29" s="1">
        <f t="shared" si="15"/>
        <v>8</v>
      </c>
      <c r="AH29" s="1" t="b">
        <f t="shared" si="16"/>
        <v>0</v>
      </c>
      <c r="AI29" s="1" t="s">
        <v>85</v>
      </c>
      <c r="AJ29" s="1">
        <v>250</v>
      </c>
      <c r="AK29" s="1">
        <v>4000</v>
      </c>
      <c r="AL29" s="71">
        <v>0.1</v>
      </c>
      <c r="AM29" s="1">
        <f t="shared" si="17"/>
        <v>168</v>
      </c>
      <c r="AN29" s="25">
        <f t="shared" si="18"/>
        <v>25</v>
      </c>
      <c r="AO29" s="25">
        <f t="shared" si="19"/>
        <v>672</v>
      </c>
      <c r="AP29" s="25">
        <f t="shared" si="20"/>
        <v>24</v>
      </c>
      <c r="AQ29" s="25">
        <f t="shared" si="21"/>
        <v>6</v>
      </c>
      <c r="AT29" s="57"/>
      <c r="AU29" s="25"/>
    </row>
    <row r="30" spans="1:47" x14ac:dyDescent="0.2">
      <c r="A30" s="1">
        <f t="shared" si="10"/>
        <v>2750</v>
      </c>
      <c r="C30" s="25"/>
      <c r="D30" s="25"/>
      <c r="E30" s="25"/>
      <c r="F30" s="25"/>
      <c r="G30" s="25"/>
      <c r="H30" s="25"/>
      <c r="I30" s="25"/>
      <c r="J30" s="25" t="s">
        <v>331</v>
      </c>
      <c r="K30" s="24">
        <v>1400</v>
      </c>
      <c r="L30" s="25"/>
      <c r="M30" s="25" t="s">
        <v>113</v>
      </c>
      <c r="N30" s="66"/>
      <c r="O30" s="66"/>
      <c r="P30" s="66"/>
      <c r="S30" s="25"/>
      <c r="T30" s="25"/>
      <c r="U30" s="25"/>
      <c r="V30" s="25"/>
      <c r="W30" s="25"/>
      <c r="Y30" s="1" t="s">
        <v>84</v>
      </c>
      <c r="Z30" s="1">
        <v>1000</v>
      </c>
      <c r="AA30" s="1">
        <v>1000</v>
      </c>
      <c r="AB30" s="71">
        <v>0.15</v>
      </c>
      <c r="AC30" s="1">
        <f t="shared" si="11"/>
        <v>850</v>
      </c>
      <c r="AD30" s="25">
        <f t="shared" si="12"/>
        <v>150</v>
      </c>
      <c r="AE30" s="25">
        <f t="shared" si="13"/>
        <v>850</v>
      </c>
      <c r="AF30" s="25">
        <f t="shared" si="14"/>
        <v>8</v>
      </c>
      <c r="AG30" s="1">
        <f t="shared" si="15"/>
        <v>8</v>
      </c>
      <c r="AH30" s="1" t="b">
        <f t="shared" si="16"/>
        <v>0</v>
      </c>
      <c r="AI30" s="1" t="s">
        <v>85</v>
      </c>
      <c r="AJ30" s="1">
        <v>250</v>
      </c>
      <c r="AK30" s="1">
        <v>4000</v>
      </c>
      <c r="AL30" s="71">
        <v>0.15</v>
      </c>
      <c r="AM30" s="1">
        <f t="shared" si="17"/>
        <v>159</v>
      </c>
      <c r="AN30" s="25">
        <f t="shared" si="18"/>
        <v>37.5</v>
      </c>
      <c r="AO30" s="25">
        <f t="shared" si="19"/>
        <v>636</v>
      </c>
      <c r="AP30" s="25">
        <f t="shared" si="20"/>
        <v>26</v>
      </c>
      <c r="AQ30" s="25">
        <f t="shared" si="21"/>
        <v>7</v>
      </c>
      <c r="AT30" s="57"/>
      <c r="AU30" s="25"/>
    </row>
    <row r="31" spans="1:47" x14ac:dyDescent="0.2">
      <c r="A31" s="1">
        <f t="shared" si="10"/>
        <v>3500</v>
      </c>
      <c r="C31" s="25"/>
      <c r="D31" s="25"/>
      <c r="E31" s="25"/>
      <c r="F31" s="25"/>
      <c r="G31" s="25"/>
      <c r="H31" s="25"/>
      <c r="I31" s="25"/>
      <c r="J31" s="25" t="s">
        <v>332</v>
      </c>
      <c r="K31" s="24">
        <v>1400</v>
      </c>
      <c r="L31" s="25"/>
      <c r="M31" s="70" t="s">
        <v>116</v>
      </c>
      <c r="N31" s="66"/>
      <c r="O31" s="66"/>
      <c r="P31" s="66"/>
      <c r="S31" s="25"/>
      <c r="T31" s="25"/>
      <c r="U31" s="25"/>
      <c r="V31" s="25"/>
      <c r="W31" s="25"/>
      <c r="Y31" s="1" t="s">
        <v>84</v>
      </c>
      <c r="Z31" s="1">
        <v>1000</v>
      </c>
      <c r="AA31" s="1">
        <v>1000</v>
      </c>
      <c r="AB31" s="71">
        <v>0.2</v>
      </c>
      <c r="AC31" s="1">
        <f t="shared" si="11"/>
        <v>800</v>
      </c>
      <c r="AD31" s="25">
        <f t="shared" si="12"/>
        <v>200</v>
      </c>
      <c r="AE31" s="25">
        <f t="shared" si="13"/>
        <v>800</v>
      </c>
      <c r="AF31" s="25">
        <f t="shared" si="14"/>
        <v>8</v>
      </c>
      <c r="AG31" s="1">
        <f t="shared" si="15"/>
        <v>8</v>
      </c>
      <c r="AH31" s="1" t="b">
        <f t="shared" si="16"/>
        <v>0</v>
      </c>
      <c r="AI31" s="1" t="s">
        <v>85</v>
      </c>
      <c r="AJ31" s="1">
        <v>250</v>
      </c>
      <c r="AK31" s="1">
        <v>4000</v>
      </c>
      <c r="AL31" s="71">
        <v>0.2</v>
      </c>
      <c r="AM31" s="1">
        <f t="shared" si="17"/>
        <v>150</v>
      </c>
      <c r="AN31" s="25">
        <f t="shared" si="18"/>
        <v>50</v>
      </c>
      <c r="AO31" s="25">
        <f t="shared" si="19"/>
        <v>600</v>
      </c>
      <c r="AP31" s="25">
        <f t="shared" si="20"/>
        <v>27</v>
      </c>
      <c r="AQ31" s="25">
        <f t="shared" si="21"/>
        <v>7</v>
      </c>
      <c r="AT31" s="25"/>
      <c r="AU31" s="25"/>
    </row>
    <row r="32" spans="1:47" x14ac:dyDescent="0.2">
      <c r="C32" s="25"/>
      <c r="D32" s="25"/>
      <c r="E32" s="25"/>
      <c r="F32" s="25"/>
      <c r="G32" s="25"/>
      <c r="H32" s="25"/>
      <c r="I32" s="25"/>
      <c r="J32" s="25" t="s">
        <v>333</v>
      </c>
      <c r="K32" s="24">
        <v>1400</v>
      </c>
      <c r="L32" s="25"/>
      <c r="M32" s="70" t="s">
        <v>424</v>
      </c>
      <c r="N32" s="66"/>
      <c r="O32" s="66"/>
      <c r="P32" s="66"/>
      <c r="S32" s="25"/>
      <c r="T32" s="25"/>
      <c r="U32" s="25"/>
      <c r="V32" s="25"/>
      <c r="W32" s="25"/>
      <c r="Y32" s="1" t="s">
        <v>84</v>
      </c>
      <c r="Z32" s="1">
        <v>1000</v>
      </c>
      <c r="AA32" s="1">
        <v>1000</v>
      </c>
      <c r="AB32" s="71">
        <v>0.25</v>
      </c>
      <c r="AC32" s="1">
        <f t="shared" si="11"/>
        <v>750</v>
      </c>
      <c r="AD32" s="25">
        <f t="shared" si="12"/>
        <v>250</v>
      </c>
      <c r="AE32" s="25">
        <f t="shared" si="13"/>
        <v>750</v>
      </c>
      <c r="AF32" s="25">
        <f t="shared" si="14"/>
        <v>8</v>
      </c>
      <c r="AG32" s="1">
        <f t="shared" si="15"/>
        <v>8</v>
      </c>
      <c r="AH32" s="1" t="b">
        <f t="shared" si="16"/>
        <v>0</v>
      </c>
      <c r="AI32" s="1" t="s">
        <v>85</v>
      </c>
      <c r="AJ32" s="1">
        <v>250</v>
      </c>
      <c r="AK32" s="1">
        <v>4000</v>
      </c>
      <c r="AL32" s="71">
        <v>0.25</v>
      </c>
      <c r="AM32" s="1">
        <f t="shared" si="17"/>
        <v>140</v>
      </c>
      <c r="AN32" s="25">
        <f t="shared" si="18"/>
        <v>62.5</v>
      </c>
      <c r="AO32" s="25">
        <f t="shared" si="19"/>
        <v>560</v>
      </c>
      <c r="AP32" s="25">
        <f t="shared" si="20"/>
        <v>29</v>
      </c>
      <c r="AQ32" s="25">
        <f t="shared" si="21"/>
        <v>8</v>
      </c>
      <c r="AT32" s="25"/>
      <c r="AU32" s="25"/>
    </row>
    <row r="33" spans="3:47" x14ac:dyDescent="0.2">
      <c r="C33" s="25"/>
      <c r="D33" s="25"/>
      <c r="E33" s="25"/>
      <c r="F33" s="25"/>
      <c r="G33" s="25"/>
      <c r="H33" s="25"/>
      <c r="I33" s="25"/>
      <c r="J33" s="25" t="s">
        <v>334</v>
      </c>
      <c r="K33" s="24">
        <v>1400</v>
      </c>
      <c r="M33" s="1" t="s">
        <v>429</v>
      </c>
      <c r="S33" s="25"/>
      <c r="T33" s="25"/>
      <c r="U33" s="25"/>
      <c r="V33" s="25"/>
      <c r="W33" s="25"/>
      <c r="Y33" s="1" t="s">
        <v>84</v>
      </c>
      <c r="Z33" s="1">
        <v>1000</v>
      </c>
      <c r="AA33" s="1">
        <v>1000</v>
      </c>
      <c r="AB33" s="71">
        <v>0.3</v>
      </c>
      <c r="AC33" s="1">
        <f t="shared" si="11"/>
        <v>700</v>
      </c>
      <c r="AD33" s="25">
        <f t="shared" si="12"/>
        <v>300</v>
      </c>
      <c r="AE33" s="25">
        <f t="shared" si="13"/>
        <v>700</v>
      </c>
      <c r="AF33" s="25">
        <f t="shared" si="14"/>
        <v>8</v>
      </c>
      <c r="AG33" s="1">
        <f t="shared" si="15"/>
        <v>8</v>
      </c>
      <c r="AH33" s="1" t="b">
        <f t="shared" si="16"/>
        <v>0</v>
      </c>
      <c r="AI33" s="1" t="s">
        <v>85</v>
      </c>
      <c r="AJ33" s="1">
        <v>250</v>
      </c>
      <c r="AK33" s="1">
        <v>4000</v>
      </c>
      <c r="AL33" s="71">
        <v>0.3</v>
      </c>
      <c r="AM33" s="1">
        <f t="shared" si="17"/>
        <v>131</v>
      </c>
      <c r="AN33" s="25">
        <f t="shared" si="18"/>
        <v>75</v>
      </c>
      <c r="AO33" s="25">
        <f t="shared" si="19"/>
        <v>524</v>
      </c>
      <c r="AP33" s="25">
        <f t="shared" si="20"/>
        <v>31</v>
      </c>
      <c r="AQ33" s="25">
        <f t="shared" si="21"/>
        <v>8</v>
      </c>
      <c r="AT33" s="25"/>
      <c r="AU33" s="25"/>
    </row>
    <row r="34" spans="3:47" x14ac:dyDescent="0.2">
      <c r="C34" s="25"/>
      <c r="D34" s="25"/>
      <c r="E34" s="25"/>
      <c r="F34" s="25"/>
      <c r="G34" s="25"/>
      <c r="H34" s="25"/>
      <c r="I34" s="25"/>
      <c r="J34" s="25"/>
      <c r="K34" s="25"/>
      <c r="M34" s="1" t="s">
        <v>430</v>
      </c>
      <c r="S34" s="25"/>
      <c r="T34" s="25"/>
      <c r="U34" s="25"/>
      <c r="V34" s="25"/>
      <c r="W34" s="25"/>
      <c r="Y34" s="1" t="s">
        <v>84</v>
      </c>
      <c r="Z34" s="1">
        <v>1000</v>
      </c>
      <c r="AA34" s="1">
        <v>1000</v>
      </c>
      <c r="AB34" s="71">
        <v>0.35</v>
      </c>
      <c r="AC34" s="1">
        <f t="shared" si="11"/>
        <v>650</v>
      </c>
      <c r="AD34" s="25">
        <f t="shared" si="12"/>
        <v>350</v>
      </c>
      <c r="AE34" s="25">
        <f t="shared" si="13"/>
        <v>650</v>
      </c>
      <c r="AF34" s="25">
        <f t="shared" si="14"/>
        <v>8</v>
      </c>
      <c r="AG34" s="1">
        <f t="shared" si="15"/>
        <v>8</v>
      </c>
      <c r="AH34" s="1" t="b">
        <f t="shared" si="16"/>
        <v>1</v>
      </c>
      <c r="AI34" s="1" t="s">
        <v>85</v>
      </c>
      <c r="AJ34" s="1">
        <v>250</v>
      </c>
      <c r="AK34" s="1">
        <v>4000</v>
      </c>
      <c r="AL34" s="71">
        <v>0.35</v>
      </c>
      <c r="AM34" s="1">
        <f t="shared" si="17"/>
        <v>121</v>
      </c>
      <c r="AN34" s="25">
        <f t="shared" si="18"/>
        <v>87.5</v>
      </c>
      <c r="AO34" s="25">
        <f t="shared" si="19"/>
        <v>484</v>
      </c>
      <c r="AP34" s="25">
        <f t="shared" si="20"/>
        <v>34</v>
      </c>
      <c r="AQ34" s="25">
        <f t="shared" si="21"/>
        <v>9</v>
      </c>
      <c r="AT34" s="57"/>
      <c r="AU34" s="25"/>
    </row>
    <row r="35" spans="3:47" x14ac:dyDescent="0.2">
      <c r="C35" s="25">
        <v>2</v>
      </c>
      <c r="D35" s="25">
        <v>1</v>
      </c>
      <c r="E35" s="25" t="s">
        <v>329</v>
      </c>
      <c r="F35" s="24">
        <v>6200</v>
      </c>
      <c r="G35" s="25"/>
      <c r="H35" s="25"/>
      <c r="I35" s="25"/>
      <c r="J35" s="25" t="s">
        <v>330</v>
      </c>
      <c r="K35" s="25">
        <v>925</v>
      </c>
      <c r="M35" s="1" t="s">
        <v>431</v>
      </c>
      <c r="S35" s="25"/>
      <c r="T35" s="25"/>
      <c r="U35" s="25"/>
      <c r="V35" s="25"/>
      <c r="W35" s="25"/>
      <c r="Y35" s="1" t="s">
        <v>84</v>
      </c>
      <c r="Z35" s="1">
        <v>1000</v>
      </c>
      <c r="AA35" s="1">
        <v>1000</v>
      </c>
      <c r="AB35" s="71">
        <v>0.4</v>
      </c>
      <c r="AC35" s="1">
        <f t="shared" si="11"/>
        <v>600</v>
      </c>
      <c r="AD35" s="25">
        <f t="shared" si="12"/>
        <v>400</v>
      </c>
      <c r="AE35" s="25">
        <f t="shared" si="13"/>
        <v>600</v>
      </c>
      <c r="AF35" s="25">
        <f t="shared" si="14"/>
        <v>8</v>
      </c>
      <c r="AG35" s="1">
        <f t="shared" si="15"/>
        <v>8</v>
      </c>
      <c r="AH35" s="1" t="b">
        <f t="shared" si="16"/>
        <v>1</v>
      </c>
      <c r="AI35" s="1" t="s">
        <v>85</v>
      </c>
      <c r="AJ35" s="1">
        <v>250</v>
      </c>
      <c r="AK35" s="1">
        <v>4000</v>
      </c>
      <c r="AL35" s="71">
        <v>0.4</v>
      </c>
      <c r="AM35" s="1">
        <f t="shared" si="17"/>
        <v>112</v>
      </c>
      <c r="AN35" s="25">
        <f t="shared" si="18"/>
        <v>100</v>
      </c>
      <c r="AO35" s="25">
        <f t="shared" si="19"/>
        <v>448</v>
      </c>
      <c r="AP35" s="25">
        <f t="shared" si="20"/>
        <v>36</v>
      </c>
      <c r="AQ35" s="25">
        <f t="shared" si="21"/>
        <v>9</v>
      </c>
      <c r="AT35" s="57"/>
      <c r="AU35" s="25"/>
    </row>
    <row r="36" spans="3:47" x14ac:dyDescent="0.2">
      <c r="C36" s="25"/>
      <c r="D36" s="25"/>
      <c r="E36" s="25"/>
      <c r="F36" s="25"/>
      <c r="G36" s="25"/>
      <c r="H36" s="25"/>
      <c r="I36" s="25"/>
      <c r="J36" s="25" t="s">
        <v>331</v>
      </c>
      <c r="K36" s="25">
        <v>1400</v>
      </c>
      <c r="M36" s="1" t="s">
        <v>432</v>
      </c>
      <c r="S36" s="25"/>
      <c r="T36" s="25"/>
      <c r="U36" s="25"/>
      <c r="V36" s="25"/>
      <c r="W36" s="25"/>
      <c r="Y36" s="1" t="s">
        <v>84</v>
      </c>
      <c r="Z36" s="1">
        <v>1000</v>
      </c>
      <c r="AA36" s="1">
        <v>1000</v>
      </c>
      <c r="AB36" s="71">
        <v>0.45</v>
      </c>
      <c r="AC36" s="1">
        <f t="shared" si="11"/>
        <v>550</v>
      </c>
      <c r="AD36" s="25">
        <f t="shared" si="12"/>
        <v>450</v>
      </c>
      <c r="AE36" s="25">
        <f t="shared" si="13"/>
        <v>550</v>
      </c>
      <c r="AF36" s="25">
        <f t="shared" si="14"/>
        <v>8</v>
      </c>
      <c r="AG36" s="1">
        <f t="shared" si="15"/>
        <v>8</v>
      </c>
      <c r="AH36" s="1" t="b">
        <f t="shared" si="16"/>
        <v>1</v>
      </c>
      <c r="AI36" s="1" t="s">
        <v>85</v>
      </c>
      <c r="AJ36" s="1">
        <v>250</v>
      </c>
      <c r="AK36" s="1">
        <v>4000</v>
      </c>
      <c r="AL36" s="71">
        <v>0.45</v>
      </c>
      <c r="AM36" s="1">
        <f t="shared" si="17"/>
        <v>103</v>
      </c>
      <c r="AN36" s="25">
        <f t="shared" si="18"/>
        <v>112.5</v>
      </c>
      <c r="AO36" s="25">
        <f t="shared" si="19"/>
        <v>412</v>
      </c>
      <c r="AP36" s="25">
        <f t="shared" si="20"/>
        <v>39</v>
      </c>
      <c r="AQ36" s="25">
        <f t="shared" si="21"/>
        <v>10</v>
      </c>
      <c r="AT36" s="57"/>
      <c r="AU36" s="25"/>
    </row>
    <row r="37" spans="3:47" x14ac:dyDescent="0.2">
      <c r="C37" s="25"/>
      <c r="D37" s="25"/>
      <c r="E37" s="25"/>
      <c r="F37" s="25"/>
      <c r="G37" s="25"/>
      <c r="H37" s="25"/>
      <c r="I37" s="25"/>
      <c r="J37" s="25" t="s">
        <v>332</v>
      </c>
      <c r="K37" s="25">
        <v>1400</v>
      </c>
      <c r="M37" s="1" t="s">
        <v>433</v>
      </c>
      <c r="S37" s="214"/>
      <c r="T37" s="25"/>
      <c r="U37" s="25"/>
      <c r="V37" s="25"/>
      <c r="W37" s="25"/>
      <c r="Y37" s="1" t="s">
        <v>84</v>
      </c>
      <c r="Z37" s="1">
        <v>1000</v>
      </c>
      <c r="AA37" s="1">
        <v>1000</v>
      </c>
      <c r="AB37" s="71">
        <v>0.5</v>
      </c>
      <c r="AC37" s="1">
        <f t="shared" si="11"/>
        <v>500</v>
      </c>
      <c r="AD37" s="25">
        <f t="shared" si="12"/>
        <v>500</v>
      </c>
      <c r="AE37" s="25">
        <f t="shared" si="13"/>
        <v>500</v>
      </c>
      <c r="AF37" s="25">
        <f t="shared" si="14"/>
        <v>8</v>
      </c>
      <c r="AG37" s="1">
        <f t="shared" si="15"/>
        <v>8</v>
      </c>
      <c r="AH37" s="1" t="b">
        <f t="shared" si="16"/>
        <v>1</v>
      </c>
      <c r="AI37" s="1" t="s">
        <v>85</v>
      </c>
      <c r="AJ37" s="1">
        <v>250</v>
      </c>
      <c r="AK37" s="1">
        <v>4000</v>
      </c>
      <c r="AL37" s="71">
        <v>0.5</v>
      </c>
      <c r="AM37" s="1">
        <f t="shared" si="17"/>
        <v>93</v>
      </c>
      <c r="AN37" s="25">
        <f t="shared" si="18"/>
        <v>125</v>
      </c>
      <c r="AO37" s="25">
        <f t="shared" si="19"/>
        <v>372</v>
      </c>
      <c r="AP37" s="25">
        <f t="shared" si="20"/>
        <v>44</v>
      </c>
      <c r="AQ37" s="25">
        <f t="shared" si="21"/>
        <v>11</v>
      </c>
      <c r="AT37" s="4"/>
      <c r="AU37" s="4"/>
    </row>
    <row r="38" spans="3:47" x14ac:dyDescent="0.2">
      <c r="C38" s="25"/>
      <c r="D38" s="25"/>
      <c r="E38" s="25"/>
      <c r="F38" s="25"/>
      <c r="G38" s="25"/>
      <c r="H38" s="25"/>
      <c r="I38" s="25"/>
      <c r="J38" s="25" t="s">
        <v>333</v>
      </c>
      <c r="K38" s="25">
        <v>1400</v>
      </c>
      <c r="M38" s="1" t="s">
        <v>434</v>
      </c>
      <c r="S38" s="214"/>
      <c r="T38" s="25"/>
      <c r="U38" s="25"/>
      <c r="V38" s="25"/>
      <c r="W38" s="25"/>
      <c r="Y38" s="1" t="s">
        <v>84</v>
      </c>
      <c r="Z38" s="1">
        <v>1000</v>
      </c>
      <c r="AA38" s="1">
        <v>1000</v>
      </c>
      <c r="AB38" s="71">
        <v>0.55000000000000004</v>
      </c>
      <c r="AC38" s="1">
        <f>Z38*(100%-AB38)</f>
        <v>449.99999999999994</v>
      </c>
      <c r="AD38" s="25">
        <f>Z38*AB38</f>
        <v>550</v>
      </c>
      <c r="AE38" s="25">
        <f>AC38*1</f>
        <v>449.99999999999994</v>
      </c>
      <c r="AF38" s="25">
        <f>ROUNDUP(AA38/AC38,0)*4</f>
        <v>12</v>
      </c>
      <c r="AG38" s="1">
        <f>AF38/1</f>
        <v>12</v>
      </c>
      <c r="AH38" s="1" t="b">
        <f t="shared" si="16"/>
        <v>0</v>
      </c>
      <c r="AI38" s="1" t="s">
        <v>85</v>
      </c>
      <c r="AJ38" s="1">
        <v>250</v>
      </c>
      <c r="AK38" s="1">
        <v>4000</v>
      </c>
      <c r="AL38" s="71">
        <v>0.55000000000000004</v>
      </c>
      <c r="AM38" s="1">
        <f>INT((AJ38*(100%-AL38)) * 0.75)</f>
        <v>84</v>
      </c>
      <c r="AN38" s="25">
        <f>AJ38*AL38</f>
        <v>137.5</v>
      </c>
      <c r="AO38" s="25">
        <f>AM38*4</f>
        <v>336</v>
      </c>
      <c r="AP38" s="25">
        <f>ROUNDUP(AK38/AM38,0)</f>
        <v>48</v>
      </c>
      <c r="AQ38" s="25">
        <f>ROUNDUP(AP38/4,0)</f>
        <v>12</v>
      </c>
      <c r="AT38" s="25"/>
      <c r="AU38" s="25"/>
    </row>
    <row r="39" spans="3:47" x14ac:dyDescent="0.2">
      <c r="C39" s="25"/>
      <c r="D39" s="25"/>
      <c r="E39" s="25"/>
      <c r="F39" s="25"/>
      <c r="G39" s="25"/>
      <c r="H39" s="25"/>
      <c r="I39" s="25"/>
      <c r="J39" s="25" t="s">
        <v>334</v>
      </c>
      <c r="K39" s="25">
        <v>1400</v>
      </c>
      <c r="S39" s="214"/>
      <c r="T39" s="25"/>
      <c r="U39" s="25"/>
      <c r="V39" s="25"/>
      <c r="W39" s="25"/>
      <c r="Y39" s="1" t="s">
        <v>84</v>
      </c>
      <c r="Z39" s="1">
        <v>1000</v>
      </c>
      <c r="AA39" s="1">
        <v>1000</v>
      </c>
      <c r="AB39" s="71">
        <v>0.6</v>
      </c>
      <c r="AC39" s="1">
        <f t="shared" ref="AC39:AC47" si="22">Z39*(100%-AB39)</f>
        <v>400</v>
      </c>
      <c r="AD39" s="25">
        <f t="shared" ref="AD39:AD47" si="23">Z39*AB39</f>
        <v>600</v>
      </c>
      <c r="AE39" s="25">
        <f t="shared" ref="AE39:AE47" si="24">AC39*1</f>
        <v>400</v>
      </c>
      <c r="AF39" s="25">
        <f t="shared" ref="AF39:AF47" si="25">ROUNDUP(AA39/AC39,0)*4</f>
        <v>12</v>
      </c>
      <c r="AG39" s="1">
        <f t="shared" si="15"/>
        <v>12</v>
      </c>
      <c r="AH39" s="1" t="b">
        <f t="shared" si="16"/>
        <v>1</v>
      </c>
      <c r="AI39" s="1" t="s">
        <v>85</v>
      </c>
      <c r="AJ39" s="1">
        <v>250</v>
      </c>
      <c r="AK39" s="1">
        <v>4000</v>
      </c>
      <c r="AL39" s="71">
        <v>0.6</v>
      </c>
      <c r="AM39" s="1">
        <f t="shared" ref="AM39:AM47" si="26">INT((AJ39*(100%-AL39)) * 0.75)</f>
        <v>75</v>
      </c>
      <c r="AN39" s="25">
        <f t="shared" ref="AN39:AN47" si="27">AJ39*AL39</f>
        <v>150</v>
      </c>
      <c r="AO39" s="25">
        <f t="shared" ref="AO39:AO47" si="28">AM39*4</f>
        <v>300</v>
      </c>
      <c r="AP39" s="25">
        <f t="shared" ref="AP39:AP47" si="29">ROUNDUP(AK39/AM39,0)</f>
        <v>54</v>
      </c>
      <c r="AQ39" s="25">
        <f t="shared" si="21"/>
        <v>14</v>
      </c>
      <c r="AT39" s="25"/>
      <c r="AU39" s="25"/>
    </row>
    <row r="40" spans="3:47" x14ac:dyDescent="0.2">
      <c r="C40" s="25"/>
      <c r="D40" s="25"/>
      <c r="E40" s="25"/>
      <c r="F40" s="25"/>
      <c r="G40" s="25"/>
      <c r="H40" s="25"/>
      <c r="I40" s="25"/>
      <c r="J40" s="25"/>
      <c r="K40" s="25"/>
      <c r="S40" s="214"/>
      <c r="T40" s="25"/>
      <c r="U40" s="25"/>
      <c r="V40" s="25"/>
      <c r="W40" s="25"/>
      <c r="Y40" s="1" t="s">
        <v>84</v>
      </c>
      <c r="Z40" s="1">
        <v>1000</v>
      </c>
      <c r="AA40" s="1">
        <v>1000</v>
      </c>
      <c r="AB40" s="71">
        <v>0.65</v>
      </c>
      <c r="AC40" s="1">
        <f t="shared" si="22"/>
        <v>350</v>
      </c>
      <c r="AD40" s="25">
        <f t="shared" si="23"/>
        <v>650</v>
      </c>
      <c r="AE40" s="25">
        <f t="shared" si="24"/>
        <v>350</v>
      </c>
      <c r="AF40" s="25">
        <f t="shared" si="25"/>
        <v>12</v>
      </c>
      <c r="AG40" s="1">
        <f t="shared" si="15"/>
        <v>12</v>
      </c>
      <c r="AH40" s="1" t="b">
        <f t="shared" si="16"/>
        <v>1</v>
      </c>
      <c r="AI40" s="1" t="s">
        <v>85</v>
      </c>
      <c r="AJ40" s="1">
        <v>250</v>
      </c>
      <c r="AK40" s="1">
        <v>4000</v>
      </c>
      <c r="AL40" s="71">
        <v>0.65</v>
      </c>
      <c r="AM40" s="1">
        <f t="shared" si="26"/>
        <v>65</v>
      </c>
      <c r="AN40" s="25">
        <f t="shared" si="27"/>
        <v>162.5</v>
      </c>
      <c r="AO40" s="25">
        <f t="shared" si="28"/>
        <v>260</v>
      </c>
      <c r="AP40" s="25">
        <f t="shared" si="29"/>
        <v>62</v>
      </c>
      <c r="AQ40" s="25">
        <f t="shared" si="21"/>
        <v>16</v>
      </c>
      <c r="AT40" s="57"/>
      <c r="AU40" s="25"/>
    </row>
    <row r="41" spans="3:47" x14ac:dyDescent="0.2">
      <c r="C41" s="25">
        <v>3</v>
      </c>
      <c r="D41" s="25">
        <v>2</v>
      </c>
      <c r="E41" s="25" t="s">
        <v>329</v>
      </c>
      <c r="F41" s="24">
        <v>5800</v>
      </c>
      <c r="G41" s="25"/>
      <c r="H41" s="25"/>
      <c r="I41" s="25"/>
      <c r="J41" s="25" t="s">
        <v>330</v>
      </c>
      <c r="K41" s="25">
        <v>925</v>
      </c>
      <c r="L41" s="200" t="s">
        <v>400</v>
      </c>
      <c r="M41" s="70" t="s">
        <v>399</v>
      </c>
      <c r="N41" s="66" t="s">
        <v>406</v>
      </c>
      <c r="O41" s="66" t="s">
        <v>407</v>
      </c>
      <c r="P41" s="66" t="s">
        <v>337</v>
      </c>
      <c r="Q41" s="1" t="s">
        <v>338</v>
      </c>
      <c r="S41" s="214"/>
      <c r="T41" s="25"/>
      <c r="U41" s="25"/>
      <c r="V41" s="25"/>
      <c r="W41" s="25"/>
      <c r="Y41" s="1" t="s">
        <v>84</v>
      </c>
      <c r="Z41" s="1">
        <v>1000</v>
      </c>
      <c r="AA41" s="1">
        <v>1000</v>
      </c>
      <c r="AB41" s="71">
        <v>0.7</v>
      </c>
      <c r="AC41" s="1">
        <f t="shared" si="22"/>
        <v>300.00000000000006</v>
      </c>
      <c r="AD41" s="25">
        <f t="shared" si="23"/>
        <v>700</v>
      </c>
      <c r="AE41" s="25">
        <f t="shared" si="24"/>
        <v>300.00000000000006</v>
      </c>
      <c r="AF41" s="25">
        <f t="shared" si="25"/>
        <v>16</v>
      </c>
      <c r="AG41" s="1">
        <f t="shared" si="15"/>
        <v>16</v>
      </c>
      <c r="AH41" s="1" t="b">
        <f t="shared" si="16"/>
        <v>1</v>
      </c>
      <c r="AI41" s="1" t="s">
        <v>85</v>
      </c>
      <c r="AJ41" s="1">
        <v>250</v>
      </c>
      <c r="AK41" s="1">
        <v>4000</v>
      </c>
      <c r="AL41" s="71">
        <v>0.7</v>
      </c>
      <c r="AM41" s="1">
        <f t="shared" si="26"/>
        <v>56</v>
      </c>
      <c r="AN41" s="25">
        <f t="shared" si="27"/>
        <v>175</v>
      </c>
      <c r="AO41" s="25">
        <f t="shared" si="28"/>
        <v>224</v>
      </c>
      <c r="AP41" s="25">
        <f t="shared" si="29"/>
        <v>72</v>
      </c>
      <c r="AQ41" s="25">
        <f t="shared" si="21"/>
        <v>18</v>
      </c>
    </row>
    <row r="42" spans="3:47" x14ac:dyDescent="0.2">
      <c r="C42" s="25"/>
      <c r="D42" s="25"/>
      <c r="E42" s="25"/>
      <c r="F42" s="25"/>
      <c r="G42" s="25"/>
      <c r="H42" s="25"/>
      <c r="I42" s="25"/>
      <c r="J42" s="25" t="s">
        <v>331</v>
      </c>
      <c r="K42" s="25">
        <v>1400</v>
      </c>
      <c r="L42" s="25">
        <v>1</v>
      </c>
      <c r="M42" s="197" t="s">
        <v>401</v>
      </c>
      <c r="N42" s="1" t="s">
        <v>34</v>
      </c>
      <c r="O42" s="1" t="s">
        <v>35</v>
      </c>
      <c r="P42" s="1" t="s">
        <v>404</v>
      </c>
      <c r="Q42" s="1" t="s">
        <v>412</v>
      </c>
      <c r="S42" s="25"/>
      <c r="T42" s="25"/>
      <c r="U42" s="25"/>
      <c r="V42" s="25"/>
      <c r="W42" s="25"/>
      <c r="Y42" s="1" t="s">
        <v>84</v>
      </c>
      <c r="Z42" s="1">
        <v>1000</v>
      </c>
      <c r="AA42" s="1">
        <v>1000</v>
      </c>
      <c r="AB42" s="71">
        <v>0.75</v>
      </c>
      <c r="AC42" s="1">
        <f t="shared" si="22"/>
        <v>250</v>
      </c>
      <c r="AD42" s="25">
        <f t="shared" si="23"/>
        <v>750</v>
      </c>
      <c r="AE42" s="25">
        <f t="shared" si="24"/>
        <v>250</v>
      </c>
      <c r="AF42" s="25">
        <f t="shared" si="25"/>
        <v>16</v>
      </c>
      <c r="AG42" s="1">
        <f t="shared" si="15"/>
        <v>16</v>
      </c>
      <c r="AH42" s="1" t="b">
        <f t="shared" si="16"/>
        <v>1</v>
      </c>
      <c r="AI42" s="1" t="s">
        <v>85</v>
      </c>
      <c r="AJ42" s="1">
        <v>250</v>
      </c>
      <c r="AK42" s="1">
        <v>4000</v>
      </c>
      <c r="AL42" s="71">
        <v>0.75</v>
      </c>
      <c r="AM42" s="1">
        <f t="shared" si="26"/>
        <v>46</v>
      </c>
      <c r="AN42" s="25">
        <f t="shared" si="27"/>
        <v>187.5</v>
      </c>
      <c r="AO42" s="25">
        <f t="shared" si="28"/>
        <v>184</v>
      </c>
      <c r="AP42" s="25">
        <f t="shared" si="29"/>
        <v>87</v>
      </c>
      <c r="AQ42" s="25">
        <f t="shared" si="21"/>
        <v>22</v>
      </c>
    </row>
    <row r="43" spans="3:47" x14ac:dyDescent="0.2">
      <c r="C43" s="25"/>
      <c r="D43" s="25"/>
      <c r="E43" s="25"/>
      <c r="F43" s="25"/>
      <c r="G43" s="25"/>
      <c r="H43" s="25"/>
      <c r="I43" s="25"/>
      <c r="J43" s="25" t="s">
        <v>332</v>
      </c>
      <c r="K43" s="25">
        <v>1400</v>
      </c>
      <c r="L43" s="25">
        <v>2</v>
      </c>
      <c r="M43" s="199" t="s">
        <v>41</v>
      </c>
      <c r="N43" s="1" t="s">
        <v>409</v>
      </c>
      <c r="O43" s="1" t="s">
        <v>410</v>
      </c>
      <c r="P43" s="1" t="s">
        <v>418</v>
      </c>
      <c r="Q43" s="1" t="s">
        <v>38</v>
      </c>
      <c r="S43" s="25"/>
      <c r="T43" s="25"/>
      <c r="U43" s="25"/>
      <c r="V43" s="25"/>
      <c r="W43" s="25"/>
      <c r="Y43" s="1" t="s">
        <v>84</v>
      </c>
      <c r="Z43" s="1">
        <v>1000</v>
      </c>
      <c r="AA43" s="1">
        <v>1000</v>
      </c>
      <c r="AB43" s="71">
        <v>0.8</v>
      </c>
      <c r="AC43" s="1">
        <f t="shared" si="22"/>
        <v>199.99999999999994</v>
      </c>
      <c r="AD43" s="25">
        <f t="shared" si="23"/>
        <v>800</v>
      </c>
      <c r="AE43" s="25">
        <f t="shared" si="24"/>
        <v>199.99999999999994</v>
      </c>
      <c r="AF43" s="25">
        <f t="shared" si="25"/>
        <v>20</v>
      </c>
      <c r="AG43" s="1">
        <f t="shared" si="15"/>
        <v>20</v>
      </c>
      <c r="AH43" s="1" t="b">
        <f t="shared" si="16"/>
        <v>1</v>
      </c>
      <c r="AI43" s="1" t="s">
        <v>85</v>
      </c>
      <c r="AJ43" s="1">
        <v>250</v>
      </c>
      <c r="AK43" s="1">
        <v>4000</v>
      </c>
      <c r="AL43" s="71">
        <v>0.8</v>
      </c>
      <c r="AM43" s="1">
        <f t="shared" si="26"/>
        <v>37</v>
      </c>
      <c r="AN43" s="25">
        <f t="shared" si="27"/>
        <v>200</v>
      </c>
      <c r="AO43" s="25">
        <f t="shared" si="28"/>
        <v>148</v>
      </c>
      <c r="AP43" s="25">
        <f t="shared" si="29"/>
        <v>109</v>
      </c>
      <c r="AQ43" s="25">
        <f t="shared" si="21"/>
        <v>28</v>
      </c>
    </row>
    <row r="44" spans="3:47" x14ac:dyDescent="0.2">
      <c r="C44" s="25"/>
      <c r="D44" s="25"/>
      <c r="E44" s="25"/>
      <c r="F44" s="25"/>
      <c r="G44" s="25"/>
      <c r="H44" s="25"/>
      <c r="I44" s="25"/>
      <c r="J44" s="25" t="s">
        <v>333</v>
      </c>
      <c r="K44" s="25">
        <v>1400</v>
      </c>
      <c r="L44" s="25">
        <v>3</v>
      </c>
      <c r="M44" s="199" t="s">
        <v>402</v>
      </c>
      <c r="N44" s="1" t="s">
        <v>408</v>
      </c>
      <c r="O44" s="1" t="s">
        <v>411</v>
      </c>
      <c r="P44" s="1" t="s">
        <v>419</v>
      </c>
      <c r="Q44" s="1" t="s">
        <v>402</v>
      </c>
      <c r="S44" s="25"/>
      <c r="T44" s="25"/>
      <c r="U44" s="25"/>
      <c r="V44" s="25"/>
      <c r="W44" s="25"/>
      <c r="Y44" s="1" t="s">
        <v>84</v>
      </c>
      <c r="Z44" s="1">
        <v>1000</v>
      </c>
      <c r="AA44" s="1">
        <v>1000</v>
      </c>
      <c r="AB44" s="71">
        <v>0.85</v>
      </c>
      <c r="AC44" s="1">
        <f t="shared" si="22"/>
        <v>150.00000000000003</v>
      </c>
      <c r="AD44" s="25">
        <f t="shared" si="23"/>
        <v>850</v>
      </c>
      <c r="AE44" s="25">
        <f t="shared" si="24"/>
        <v>150.00000000000003</v>
      </c>
      <c r="AF44" s="25">
        <f t="shared" si="25"/>
        <v>28</v>
      </c>
      <c r="AG44" s="1">
        <f t="shared" si="15"/>
        <v>28</v>
      </c>
      <c r="AH44" s="1" t="b">
        <f t="shared" si="16"/>
        <v>1</v>
      </c>
      <c r="AI44" s="1" t="s">
        <v>85</v>
      </c>
      <c r="AJ44" s="1">
        <v>250</v>
      </c>
      <c r="AK44" s="1">
        <v>4000</v>
      </c>
      <c r="AL44" s="71">
        <v>0.85</v>
      </c>
      <c r="AM44" s="1">
        <f t="shared" si="26"/>
        <v>28</v>
      </c>
      <c r="AN44" s="25">
        <f t="shared" si="27"/>
        <v>212.5</v>
      </c>
      <c r="AO44" s="25">
        <f t="shared" si="28"/>
        <v>112</v>
      </c>
      <c r="AP44" s="25">
        <f t="shared" si="29"/>
        <v>143</v>
      </c>
      <c r="AQ44" s="25">
        <f t="shared" si="21"/>
        <v>36</v>
      </c>
    </row>
    <row r="45" spans="3:47" x14ac:dyDescent="0.2">
      <c r="C45" s="25"/>
      <c r="D45" s="25"/>
      <c r="E45" s="25"/>
      <c r="F45" s="25"/>
      <c r="G45" s="25"/>
      <c r="H45" s="25"/>
      <c r="I45" s="25"/>
      <c r="J45" s="25" t="s">
        <v>334</v>
      </c>
      <c r="K45" s="25">
        <v>1400</v>
      </c>
      <c r="L45" s="25">
        <v>4</v>
      </c>
      <c r="M45" s="198" t="s">
        <v>38</v>
      </c>
      <c r="N45" s="1" t="s">
        <v>38</v>
      </c>
      <c r="O45" s="1" t="s">
        <v>414</v>
      </c>
      <c r="P45" s="1" t="s">
        <v>34</v>
      </c>
      <c r="Q45" s="1" t="s">
        <v>420</v>
      </c>
      <c r="S45" s="25"/>
      <c r="T45" s="25"/>
      <c r="U45" s="65"/>
      <c r="V45" s="25"/>
      <c r="W45" s="25"/>
      <c r="Y45" s="1" t="s">
        <v>84</v>
      </c>
      <c r="Z45" s="1">
        <v>1000</v>
      </c>
      <c r="AA45" s="1">
        <v>1000</v>
      </c>
      <c r="AB45" s="71">
        <v>0.9</v>
      </c>
      <c r="AC45" s="1">
        <f t="shared" si="22"/>
        <v>99.999999999999972</v>
      </c>
      <c r="AD45" s="25">
        <f t="shared" si="23"/>
        <v>900</v>
      </c>
      <c r="AE45" s="25">
        <f t="shared" si="24"/>
        <v>99.999999999999972</v>
      </c>
      <c r="AF45" s="25">
        <f t="shared" si="25"/>
        <v>40</v>
      </c>
      <c r="AG45" s="1">
        <f t="shared" si="15"/>
        <v>40</v>
      </c>
      <c r="AH45" s="1" t="b">
        <f t="shared" si="16"/>
        <v>1</v>
      </c>
      <c r="AI45" s="1" t="s">
        <v>85</v>
      </c>
      <c r="AJ45" s="1">
        <v>250</v>
      </c>
      <c r="AK45" s="1">
        <v>4000</v>
      </c>
      <c r="AL45" s="71">
        <v>0.9</v>
      </c>
      <c r="AM45" s="1">
        <f t="shared" si="26"/>
        <v>18</v>
      </c>
      <c r="AN45" s="25">
        <f t="shared" si="27"/>
        <v>225</v>
      </c>
      <c r="AO45" s="25">
        <f t="shared" si="28"/>
        <v>72</v>
      </c>
      <c r="AP45" s="25">
        <f t="shared" si="29"/>
        <v>223</v>
      </c>
      <c r="AQ45" s="25">
        <f t="shared" si="21"/>
        <v>56</v>
      </c>
    </row>
    <row r="46" spans="3:47" x14ac:dyDescent="0.2">
      <c r="C46" s="25"/>
      <c r="D46" s="25"/>
      <c r="E46" s="25"/>
      <c r="F46" s="25"/>
      <c r="G46" s="25"/>
      <c r="H46" s="25"/>
      <c r="I46" s="25"/>
      <c r="J46" s="25"/>
      <c r="K46" s="25"/>
      <c r="L46" s="25">
        <v>5</v>
      </c>
      <c r="M46" s="198" t="s">
        <v>403</v>
      </c>
      <c r="N46" s="1" t="s">
        <v>412</v>
      </c>
      <c r="O46" s="1" t="s">
        <v>412</v>
      </c>
      <c r="P46" s="1" t="s">
        <v>37</v>
      </c>
      <c r="Q46" s="1" t="s">
        <v>411</v>
      </c>
      <c r="S46" s="25"/>
      <c r="T46" s="25"/>
      <c r="U46" s="25"/>
      <c r="V46" s="25"/>
      <c r="W46" s="25"/>
      <c r="Y46" s="1" t="s">
        <v>84</v>
      </c>
      <c r="Z46" s="1">
        <v>1000</v>
      </c>
      <c r="AA46" s="1">
        <v>1000</v>
      </c>
      <c r="AB46" s="71">
        <v>0.95</v>
      </c>
      <c r="AC46" s="1">
        <f t="shared" si="22"/>
        <v>50.000000000000043</v>
      </c>
      <c r="AD46" s="25">
        <f t="shared" si="23"/>
        <v>950</v>
      </c>
      <c r="AE46" s="25">
        <f t="shared" si="24"/>
        <v>50.000000000000043</v>
      </c>
      <c r="AF46" s="25">
        <f t="shared" si="25"/>
        <v>80</v>
      </c>
      <c r="AG46" s="1">
        <f t="shared" si="15"/>
        <v>80</v>
      </c>
      <c r="AH46" s="1" t="b">
        <f t="shared" si="16"/>
        <v>1</v>
      </c>
      <c r="AI46" s="1" t="s">
        <v>85</v>
      </c>
      <c r="AJ46" s="1">
        <v>250</v>
      </c>
      <c r="AK46" s="1">
        <v>4000</v>
      </c>
      <c r="AL46" s="71">
        <v>0.95</v>
      </c>
      <c r="AM46" s="1">
        <f t="shared" si="26"/>
        <v>9</v>
      </c>
      <c r="AN46" s="25">
        <f t="shared" si="27"/>
        <v>237.5</v>
      </c>
      <c r="AO46" s="25">
        <f t="shared" si="28"/>
        <v>36</v>
      </c>
      <c r="AP46" s="25">
        <f t="shared" si="29"/>
        <v>445</v>
      </c>
      <c r="AQ46" s="25">
        <f t="shared" si="21"/>
        <v>112</v>
      </c>
    </row>
    <row r="47" spans="3:47" x14ac:dyDescent="0.2">
      <c r="C47" s="25"/>
      <c r="D47" s="25"/>
      <c r="E47" s="25" t="s">
        <v>329</v>
      </c>
      <c r="F47" s="25">
        <v>5800</v>
      </c>
      <c r="G47" s="25"/>
      <c r="H47" s="25"/>
      <c r="I47" s="25"/>
      <c r="J47" s="25" t="s">
        <v>330</v>
      </c>
      <c r="K47" s="24">
        <v>450</v>
      </c>
      <c r="L47" s="25">
        <v>6</v>
      </c>
      <c r="M47" s="198" t="s">
        <v>34</v>
      </c>
      <c r="N47" s="1" t="s">
        <v>39</v>
      </c>
      <c r="O47" s="1" t="s">
        <v>38</v>
      </c>
      <c r="P47" s="1" t="s">
        <v>41</v>
      </c>
      <c r="Q47" s="1" t="s">
        <v>413</v>
      </c>
      <c r="S47" s="25"/>
      <c r="T47" s="25"/>
      <c r="U47" s="25"/>
      <c r="V47" s="25"/>
      <c r="W47" s="25"/>
      <c r="Y47" s="1" t="s">
        <v>84</v>
      </c>
      <c r="Z47" s="1">
        <v>1000</v>
      </c>
      <c r="AA47" s="1">
        <v>1000</v>
      </c>
      <c r="AB47" s="71">
        <v>1</v>
      </c>
      <c r="AC47" s="1">
        <f t="shared" si="22"/>
        <v>0</v>
      </c>
      <c r="AD47" s="25">
        <f t="shared" si="23"/>
        <v>1000</v>
      </c>
      <c r="AE47" s="25">
        <f t="shared" si="24"/>
        <v>0</v>
      </c>
      <c r="AF47" s="25" t="e">
        <f t="shared" si="25"/>
        <v>#DIV/0!</v>
      </c>
      <c r="AG47" s="1" t="e">
        <f t="shared" si="15"/>
        <v>#DIV/0!</v>
      </c>
      <c r="AH47" s="1" t="e">
        <f t="shared" si="16"/>
        <v>#DIV/0!</v>
      </c>
      <c r="AI47" s="1" t="s">
        <v>85</v>
      </c>
      <c r="AJ47" s="1">
        <v>250</v>
      </c>
      <c r="AK47" s="1">
        <v>4000</v>
      </c>
      <c r="AL47" s="71">
        <v>1</v>
      </c>
      <c r="AM47" s="1">
        <f t="shared" si="26"/>
        <v>0</v>
      </c>
      <c r="AN47" s="25">
        <f t="shared" si="27"/>
        <v>250</v>
      </c>
      <c r="AO47" s="25">
        <f t="shared" si="28"/>
        <v>0</v>
      </c>
      <c r="AP47" s="25" t="e">
        <f t="shared" si="29"/>
        <v>#DIV/0!</v>
      </c>
      <c r="AQ47" s="25" t="e">
        <f t="shared" si="21"/>
        <v>#DIV/0!</v>
      </c>
    </row>
    <row r="48" spans="3:47" x14ac:dyDescent="0.2">
      <c r="C48" s="25"/>
      <c r="D48" s="25"/>
      <c r="E48" s="25"/>
      <c r="F48" s="25"/>
      <c r="G48" s="25"/>
      <c r="H48" s="25"/>
      <c r="I48" s="25"/>
      <c r="J48" s="25" t="s">
        <v>331</v>
      </c>
      <c r="K48" s="24">
        <v>1400</v>
      </c>
      <c r="L48" s="25">
        <v>7</v>
      </c>
      <c r="M48" s="199" t="s">
        <v>404</v>
      </c>
      <c r="N48" s="1" t="s">
        <v>415</v>
      </c>
      <c r="O48" s="1" t="s">
        <v>39</v>
      </c>
      <c r="P48" s="1" t="s">
        <v>35</v>
      </c>
      <c r="Q48" s="1" t="s">
        <v>328</v>
      </c>
      <c r="S48" s="25"/>
      <c r="T48" s="25"/>
      <c r="U48" s="25"/>
      <c r="V48" s="25"/>
      <c r="W48" s="25"/>
      <c r="AB48" s="71"/>
      <c r="AD48" s="25"/>
      <c r="AE48" s="25"/>
      <c r="AF48" s="25"/>
    </row>
    <row r="49" spans="3:43" x14ac:dyDescent="0.2">
      <c r="C49" s="25"/>
      <c r="D49" s="25"/>
      <c r="E49" s="25"/>
      <c r="F49" s="25"/>
      <c r="G49" s="25"/>
      <c r="H49" s="25"/>
      <c r="I49" s="25"/>
      <c r="J49" s="25" t="s">
        <v>332</v>
      </c>
      <c r="K49" s="24">
        <v>1400</v>
      </c>
      <c r="L49" s="25">
        <v>8</v>
      </c>
      <c r="M49" s="198" t="s">
        <v>35</v>
      </c>
      <c r="N49" s="1" t="s">
        <v>416</v>
      </c>
      <c r="O49" s="1" t="s">
        <v>417</v>
      </c>
      <c r="P49" s="1" t="s">
        <v>412</v>
      </c>
      <c r="Q49" s="1" t="s">
        <v>416</v>
      </c>
      <c r="S49" s="25"/>
      <c r="T49" s="25"/>
      <c r="U49" s="25"/>
      <c r="V49" s="25"/>
      <c r="W49" s="25"/>
      <c r="Z49" s="1" t="s">
        <v>99</v>
      </c>
      <c r="AB49" s="71"/>
      <c r="AD49" s="25"/>
      <c r="AE49" s="25"/>
      <c r="AF49" s="25" t="s">
        <v>103</v>
      </c>
    </row>
    <row r="50" spans="3:43" x14ac:dyDescent="0.2">
      <c r="C50" s="25"/>
      <c r="D50" s="25"/>
      <c r="E50" s="25"/>
      <c r="F50" s="25"/>
      <c r="G50" s="25"/>
      <c r="H50" s="25"/>
      <c r="I50" s="25"/>
      <c r="J50" s="25" t="s">
        <v>333</v>
      </c>
      <c r="K50" s="24">
        <v>1400</v>
      </c>
      <c r="L50" s="25">
        <v>9</v>
      </c>
      <c r="M50" s="198" t="s">
        <v>405</v>
      </c>
      <c r="N50" s="1" t="s">
        <v>413</v>
      </c>
      <c r="O50" s="1" t="s">
        <v>37</v>
      </c>
      <c r="Q50" s="1" t="s">
        <v>327</v>
      </c>
      <c r="S50" s="25"/>
      <c r="T50" s="25"/>
      <c r="U50" s="25"/>
      <c r="V50" s="25"/>
      <c r="W50" s="25"/>
      <c r="Z50" s="1" t="s">
        <v>100</v>
      </c>
      <c r="AB50" s="71"/>
      <c r="AD50" s="25"/>
      <c r="AE50" s="25"/>
      <c r="AF50" s="25" t="s">
        <v>104</v>
      </c>
    </row>
    <row r="51" spans="3:43" x14ac:dyDescent="0.2">
      <c r="C51" s="25"/>
      <c r="D51" s="25"/>
      <c r="E51" s="25"/>
      <c r="F51" s="25"/>
      <c r="G51" s="25"/>
      <c r="H51" s="25"/>
      <c r="I51" s="25"/>
      <c r="J51" s="25" t="s">
        <v>334</v>
      </c>
      <c r="K51" s="24">
        <v>1400</v>
      </c>
      <c r="L51" s="25"/>
      <c r="M51" s="25"/>
      <c r="S51" s="25"/>
      <c r="T51" s="25"/>
      <c r="U51" s="25"/>
      <c r="V51" s="25"/>
      <c r="W51" s="25"/>
      <c r="AB51" s="71"/>
      <c r="AD51" s="25"/>
      <c r="AE51" s="25"/>
      <c r="AF51" s="25"/>
    </row>
    <row r="52" spans="3:43" x14ac:dyDescent="0.2"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S52" s="25"/>
      <c r="T52" s="25"/>
      <c r="U52" s="25"/>
      <c r="V52" s="25"/>
      <c r="W52" s="25"/>
      <c r="Z52" s="1" t="s">
        <v>91</v>
      </c>
      <c r="AA52" s="1" t="s">
        <v>95</v>
      </c>
      <c r="AB52" s="1" t="s">
        <v>101</v>
      </c>
      <c r="AC52" s="1" t="s">
        <v>90</v>
      </c>
      <c r="AD52" s="1" t="s">
        <v>93</v>
      </c>
      <c r="AE52" s="1" t="s">
        <v>94</v>
      </c>
      <c r="AF52" s="24" t="s">
        <v>96</v>
      </c>
      <c r="AG52" s="1" t="s">
        <v>97</v>
      </c>
      <c r="AH52" s="1" t="s">
        <v>98</v>
      </c>
      <c r="AJ52" s="1" t="s">
        <v>91</v>
      </c>
      <c r="AK52" s="1" t="s">
        <v>95</v>
      </c>
      <c r="AL52" s="1" t="s">
        <v>101</v>
      </c>
      <c r="AM52" s="1" t="s">
        <v>90</v>
      </c>
      <c r="AN52" s="1" t="s">
        <v>93</v>
      </c>
      <c r="AO52" s="1" t="s">
        <v>94</v>
      </c>
      <c r="AP52" s="24" t="s">
        <v>96</v>
      </c>
      <c r="AQ52" s="1" t="s">
        <v>97</v>
      </c>
    </row>
    <row r="53" spans="3:43" x14ac:dyDescent="0.2">
      <c r="C53" s="25">
        <v>4</v>
      </c>
      <c r="D53" s="25">
        <v>3</v>
      </c>
      <c r="E53" s="25" t="s">
        <v>329</v>
      </c>
      <c r="F53" s="24">
        <v>5400</v>
      </c>
      <c r="G53" s="25"/>
      <c r="H53" s="25"/>
      <c r="I53" s="25"/>
      <c r="J53" s="25" t="s">
        <v>330</v>
      </c>
      <c r="K53" s="25">
        <v>450</v>
      </c>
      <c r="L53" s="25"/>
      <c r="M53" s="25"/>
      <c r="S53" s="25"/>
      <c r="T53" s="25"/>
      <c r="U53" s="25"/>
      <c r="V53" s="25"/>
      <c r="W53" s="25"/>
      <c r="Y53" s="1" t="s">
        <v>84</v>
      </c>
      <c r="Z53" s="1">
        <v>1000</v>
      </c>
      <c r="AA53" s="1">
        <v>1000</v>
      </c>
      <c r="AB53" s="69">
        <v>0</v>
      </c>
      <c r="AC53" s="69">
        <f>Z53-AB53</f>
        <v>1000</v>
      </c>
      <c r="AD53" s="72"/>
      <c r="AE53" s="25"/>
      <c r="AF53" s="25">
        <f>ROUNDUP(AA53/AC53,0)*4</f>
        <v>4</v>
      </c>
      <c r="AG53" s="1">
        <f>AF53/1</f>
        <v>4</v>
      </c>
      <c r="AH53" s="1" t="b">
        <f>AG53&lt;AQ53</f>
        <v>0</v>
      </c>
      <c r="AI53" s="1" t="s">
        <v>85</v>
      </c>
      <c r="AJ53" s="1">
        <v>250</v>
      </c>
      <c r="AK53" s="1">
        <v>4000</v>
      </c>
      <c r="AL53" s="69">
        <v>0</v>
      </c>
      <c r="AM53" s="69">
        <f>AJ53-AL53</f>
        <v>250</v>
      </c>
      <c r="AN53" s="25"/>
      <c r="AO53" s="25"/>
      <c r="AP53" s="25">
        <f>ROUNDUP(AK53/AM53,0)</f>
        <v>16</v>
      </c>
      <c r="AQ53" s="25">
        <f>ROUNDUP(AP53/4,0)</f>
        <v>4</v>
      </c>
    </row>
    <row r="54" spans="3:43" x14ac:dyDescent="0.2">
      <c r="C54" s="25"/>
      <c r="D54" s="25"/>
      <c r="E54" s="25"/>
      <c r="F54" s="25"/>
      <c r="G54" s="25"/>
      <c r="H54" s="25"/>
      <c r="I54" s="25"/>
      <c r="J54" s="25" t="s">
        <v>331</v>
      </c>
      <c r="K54" s="25">
        <v>1400</v>
      </c>
      <c r="L54" s="25"/>
      <c r="M54" s="25"/>
      <c r="S54" s="25"/>
      <c r="T54" s="25"/>
      <c r="U54" s="25"/>
      <c r="V54" s="25"/>
      <c r="W54" s="25"/>
      <c r="Y54" s="1" t="s">
        <v>84</v>
      </c>
      <c r="Z54" s="1">
        <v>1000</v>
      </c>
      <c r="AA54" s="1">
        <v>1000</v>
      </c>
      <c r="AB54" s="69">
        <v>10</v>
      </c>
      <c r="AC54" s="69">
        <f t="shared" ref="AC54:AC73" si="30">Z54-AB54</f>
        <v>990</v>
      </c>
      <c r="AD54" s="25"/>
      <c r="AE54" s="25"/>
      <c r="AF54" s="25">
        <f t="shared" ref="AF54:AF63" si="31">ROUNDUP(AA54/AC54,0)*4</f>
        <v>8</v>
      </c>
      <c r="AG54" s="1">
        <f t="shared" si="15"/>
        <v>8</v>
      </c>
      <c r="AH54" s="1" t="b">
        <f t="shared" ref="AH54:AH73" si="32">AG54&lt;AQ54</f>
        <v>0</v>
      </c>
      <c r="AI54" s="1" t="s">
        <v>85</v>
      </c>
      <c r="AJ54" s="1">
        <v>250</v>
      </c>
      <c r="AK54" s="1">
        <v>4000</v>
      </c>
      <c r="AL54" s="69">
        <v>10</v>
      </c>
      <c r="AM54" s="69">
        <f t="shared" ref="AM54:AM73" si="33">AJ54-AL54</f>
        <v>240</v>
      </c>
      <c r="AN54" s="25"/>
      <c r="AO54" s="25"/>
      <c r="AP54" s="25">
        <f t="shared" ref="AP54:AP63" si="34">ROUNDUP(AK54/AM54,0)</f>
        <v>17</v>
      </c>
      <c r="AQ54" s="25">
        <f t="shared" ref="AQ54:AQ73" si="35">ROUNDUP(AP54/4,0)</f>
        <v>5</v>
      </c>
    </row>
    <row r="55" spans="3:43" x14ac:dyDescent="0.2">
      <c r="C55" s="25"/>
      <c r="D55" s="25"/>
      <c r="E55" s="25"/>
      <c r="F55" s="25"/>
      <c r="G55" s="25"/>
      <c r="H55" s="25"/>
      <c r="I55" s="25"/>
      <c r="J55" s="25" t="s">
        <v>332</v>
      </c>
      <c r="K55" s="25">
        <v>1400</v>
      </c>
      <c r="L55" s="25"/>
      <c r="M55" s="25"/>
      <c r="S55" s="25"/>
      <c r="T55" s="25"/>
      <c r="U55" s="25"/>
      <c r="V55" s="25"/>
      <c r="W55" s="25"/>
      <c r="Y55" s="1" t="s">
        <v>84</v>
      </c>
      <c r="Z55" s="1">
        <v>1000</v>
      </c>
      <c r="AA55" s="1">
        <v>1000</v>
      </c>
      <c r="AB55" s="69">
        <v>20</v>
      </c>
      <c r="AC55" s="69">
        <f t="shared" si="30"/>
        <v>980</v>
      </c>
      <c r="AD55" s="25"/>
      <c r="AE55" s="25"/>
      <c r="AF55" s="25">
        <f t="shared" si="31"/>
        <v>8</v>
      </c>
      <c r="AG55" s="1">
        <f t="shared" si="15"/>
        <v>8</v>
      </c>
      <c r="AH55" s="1" t="b">
        <f t="shared" si="32"/>
        <v>0</v>
      </c>
      <c r="AI55" s="1" t="s">
        <v>85</v>
      </c>
      <c r="AJ55" s="1">
        <v>250</v>
      </c>
      <c r="AK55" s="1">
        <v>4000</v>
      </c>
      <c r="AL55" s="69">
        <v>20</v>
      </c>
      <c r="AM55" s="69">
        <f t="shared" si="33"/>
        <v>230</v>
      </c>
      <c r="AN55" s="25"/>
      <c r="AO55" s="25"/>
      <c r="AP55" s="25">
        <f t="shared" si="34"/>
        <v>18</v>
      </c>
      <c r="AQ55" s="25">
        <f t="shared" si="35"/>
        <v>5</v>
      </c>
    </row>
    <row r="56" spans="3:43" x14ac:dyDescent="0.2">
      <c r="C56" s="25"/>
      <c r="D56" s="25"/>
      <c r="E56" s="25"/>
      <c r="F56" s="25"/>
      <c r="G56" s="25"/>
      <c r="H56" s="25"/>
      <c r="I56" s="25"/>
      <c r="J56" s="25" t="s">
        <v>333</v>
      </c>
      <c r="K56" s="25">
        <v>1400</v>
      </c>
      <c r="L56" s="25"/>
      <c r="M56" s="25"/>
      <c r="S56" s="25"/>
      <c r="T56" s="25"/>
      <c r="U56" s="25"/>
      <c r="V56" s="25"/>
      <c r="W56" s="25"/>
      <c r="Y56" s="1" t="s">
        <v>84</v>
      </c>
      <c r="Z56" s="1">
        <v>1000</v>
      </c>
      <c r="AA56" s="1">
        <v>1000</v>
      </c>
      <c r="AB56" s="69">
        <v>30</v>
      </c>
      <c r="AC56" s="69">
        <f t="shared" si="30"/>
        <v>970</v>
      </c>
      <c r="AD56" s="25"/>
      <c r="AE56" s="25"/>
      <c r="AF56" s="25">
        <f t="shared" si="31"/>
        <v>8</v>
      </c>
      <c r="AG56" s="1">
        <f t="shared" si="15"/>
        <v>8</v>
      </c>
      <c r="AH56" s="1" t="b">
        <f t="shared" si="32"/>
        <v>0</v>
      </c>
      <c r="AI56" s="1" t="s">
        <v>85</v>
      </c>
      <c r="AJ56" s="1">
        <v>250</v>
      </c>
      <c r="AK56" s="1">
        <v>4000</v>
      </c>
      <c r="AL56" s="69">
        <v>30</v>
      </c>
      <c r="AM56" s="69">
        <f t="shared" si="33"/>
        <v>220</v>
      </c>
      <c r="AN56" s="25"/>
      <c r="AO56" s="25"/>
      <c r="AP56" s="25">
        <f t="shared" si="34"/>
        <v>19</v>
      </c>
      <c r="AQ56" s="25">
        <f t="shared" si="35"/>
        <v>5</v>
      </c>
    </row>
    <row r="57" spans="3:43" x14ac:dyDescent="0.2">
      <c r="C57" s="25"/>
      <c r="D57" s="25"/>
      <c r="E57" s="25"/>
      <c r="F57" s="25"/>
      <c r="G57" s="25"/>
      <c r="H57" s="25"/>
      <c r="I57" s="25"/>
      <c r="J57" s="25" t="s">
        <v>334</v>
      </c>
      <c r="K57" s="25">
        <v>1400</v>
      </c>
      <c r="L57" s="25"/>
      <c r="M57" s="25"/>
      <c r="S57" s="25"/>
      <c r="T57" s="25"/>
      <c r="U57" s="25"/>
      <c r="V57" s="25"/>
      <c r="W57" s="25"/>
      <c r="Y57" s="1" t="s">
        <v>84</v>
      </c>
      <c r="Z57" s="1">
        <v>1000</v>
      </c>
      <c r="AA57" s="1">
        <v>1000</v>
      </c>
      <c r="AB57" s="69">
        <v>40</v>
      </c>
      <c r="AC57" s="69">
        <f t="shared" si="30"/>
        <v>960</v>
      </c>
      <c r="AD57" s="25"/>
      <c r="AE57" s="25"/>
      <c r="AF57" s="25">
        <f t="shared" si="31"/>
        <v>8</v>
      </c>
      <c r="AG57" s="1">
        <f t="shared" si="15"/>
        <v>8</v>
      </c>
      <c r="AH57" s="1" t="b">
        <f t="shared" si="32"/>
        <v>0</v>
      </c>
      <c r="AI57" s="1" t="s">
        <v>85</v>
      </c>
      <c r="AJ57" s="1">
        <v>250</v>
      </c>
      <c r="AK57" s="1">
        <v>4000</v>
      </c>
      <c r="AL57" s="69">
        <v>40</v>
      </c>
      <c r="AM57" s="69">
        <f t="shared" si="33"/>
        <v>210</v>
      </c>
      <c r="AN57" s="25"/>
      <c r="AO57" s="25"/>
      <c r="AP57" s="25">
        <f t="shared" si="34"/>
        <v>20</v>
      </c>
      <c r="AQ57" s="25">
        <f t="shared" si="35"/>
        <v>5</v>
      </c>
    </row>
    <row r="58" spans="3:43" x14ac:dyDescent="0.2"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S58" s="25"/>
      <c r="T58" s="25"/>
      <c r="U58" s="25"/>
      <c r="V58" s="25"/>
      <c r="W58" s="25"/>
      <c r="Y58" s="1" t="s">
        <v>84</v>
      </c>
      <c r="Z58" s="1">
        <v>1000</v>
      </c>
      <c r="AA58" s="1">
        <v>1000</v>
      </c>
      <c r="AB58" s="69">
        <v>50</v>
      </c>
      <c r="AC58" s="69">
        <f t="shared" si="30"/>
        <v>950</v>
      </c>
      <c r="AD58" s="25"/>
      <c r="AE58" s="25"/>
      <c r="AF58" s="25">
        <f t="shared" si="31"/>
        <v>8</v>
      </c>
      <c r="AG58" s="1">
        <f t="shared" si="15"/>
        <v>8</v>
      </c>
      <c r="AH58" s="1" t="b">
        <f t="shared" si="32"/>
        <v>0</v>
      </c>
      <c r="AI58" s="1" t="s">
        <v>85</v>
      </c>
      <c r="AJ58" s="1">
        <v>250</v>
      </c>
      <c r="AK58" s="1">
        <v>4000</v>
      </c>
      <c r="AL58" s="69">
        <v>50</v>
      </c>
      <c r="AM58" s="69">
        <f t="shared" si="33"/>
        <v>200</v>
      </c>
      <c r="AN58" s="25"/>
      <c r="AO58" s="25"/>
      <c r="AP58" s="25">
        <f t="shared" si="34"/>
        <v>20</v>
      </c>
      <c r="AQ58" s="25">
        <f t="shared" si="35"/>
        <v>5</v>
      </c>
    </row>
    <row r="59" spans="3:43" x14ac:dyDescent="0.2">
      <c r="C59" s="25">
        <v>5</v>
      </c>
      <c r="D59" s="25">
        <v>4</v>
      </c>
      <c r="E59" s="25" t="s">
        <v>329</v>
      </c>
      <c r="F59" s="24">
        <v>5000</v>
      </c>
      <c r="G59" s="25"/>
      <c r="H59" s="25"/>
      <c r="I59" s="25"/>
      <c r="J59" s="25" t="s">
        <v>330</v>
      </c>
      <c r="K59" s="25">
        <v>450</v>
      </c>
      <c r="L59" s="25"/>
      <c r="M59" s="25"/>
      <c r="S59" s="25"/>
      <c r="T59" s="25"/>
      <c r="U59" s="25"/>
      <c r="V59" s="25"/>
      <c r="W59" s="25"/>
      <c r="Y59" s="1" t="s">
        <v>84</v>
      </c>
      <c r="Z59" s="1">
        <v>1000</v>
      </c>
      <c r="AA59" s="1">
        <v>1000</v>
      </c>
      <c r="AB59" s="69">
        <v>60</v>
      </c>
      <c r="AC59" s="69">
        <f t="shared" si="30"/>
        <v>940</v>
      </c>
      <c r="AD59" s="25"/>
      <c r="AE59" s="25"/>
      <c r="AF59" s="25">
        <f t="shared" si="31"/>
        <v>8</v>
      </c>
      <c r="AG59" s="1">
        <f t="shared" si="15"/>
        <v>8</v>
      </c>
      <c r="AH59" s="1" t="b">
        <f t="shared" si="32"/>
        <v>0</v>
      </c>
      <c r="AI59" s="1" t="s">
        <v>85</v>
      </c>
      <c r="AJ59" s="1">
        <v>250</v>
      </c>
      <c r="AK59" s="1">
        <v>4000</v>
      </c>
      <c r="AL59" s="69">
        <v>60</v>
      </c>
      <c r="AM59" s="69">
        <f t="shared" si="33"/>
        <v>190</v>
      </c>
      <c r="AN59" s="25"/>
      <c r="AO59" s="25"/>
      <c r="AP59" s="25">
        <f t="shared" si="34"/>
        <v>22</v>
      </c>
      <c r="AQ59" s="25">
        <f t="shared" si="35"/>
        <v>6</v>
      </c>
    </row>
    <row r="60" spans="3:43" x14ac:dyDescent="0.2">
      <c r="C60" s="25"/>
      <c r="D60" s="25"/>
      <c r="E60" s="25"/>
      <c r="F60" s="25"/>
      <c r="G60" s="25"/>
      <c r="H60" s="25"/>
      <c r="I60" s="25"/>
      <c r="J60" s="25" t="s">
        <v>331</v>
      </c>
      <c r="K60" s="25">
        <v>1400</v>
      </c>
      <c r="L60" s="25"/>
      <c r="M60" s="25"/>
      <c r="S60" s="25"/>
      <c r="T60" s="25"/>
      <c r="U60" s="25"/>
      <c r="V60" s="25"/>
      <c r="W60" s="25"/>
      <c r="Y60" s="1" t="s">
        <v>84</v>
      </c>
      <c r="Z60" s="1">
        <v>1000</v>
      </c>
      <c r="AA60" s="1">
        <v>1000</v>
      </c>
      <c r="AB60" s="69">
        <v>70</v>
      </c>
      <c r="AC60" s="69">
        <f t="shared" si="30"/>
        <v>930</v>
      </c>
      <c r="AD60" s="25"/>
      <c r="AE60" s="25"/>
      <c r="AF60" s="25">
        <f t="shared" si="31"/>
        <v>8</v>
      </c>
      <c r="AG60" s="1">
        <f t="shared" si="15"/>
        <v>8</v>
      </c>
      <c r="AH60" s="1" t="b">
        <f t="shared" si="32"/>
        <v>0</v>
      </c>
      <c r="AI60" s="1" t="s">
        <v>85</v>
      </c>
      <c r="AJ60" s="1">
        <v>250</v>
      </c>
      <c r="AK60" s="1">
        <v>4000</v>
      </c>
      <c r="AL60" s="69">
        <v>70</v>
      </c>
      <c r="AM60" s="69">
        <f t="shared" si="33"/>
        <v>180</v>
      </c>
      <c r="AN60" s="25"/>
      <c r="AO60" s="25"/>
      <c r="AP60" s="25">
        <f t="shared" si="34"/>
        <v>23</v>
      </c>
      <c r="AQ60" s="25">
        <f t="shared" si="35"/>
        <v>6</v>
      </c>
    </row>
    <row r="61" spans="3:43" x14ac:dyDescent="0.2">
      <c r="C61" s="25"/>
      <c r="D61" s="25"/>
      <c r="E61" s="25"/>
      <c r="F61" s="25"/>
      <c r="G61" s="25"/>
      <c r="H61" s="25"/>
      <c r="I61" s="25"/>
      <c r="J61" s="25" t="s">
        <v>332</v>
      </c>
      <c r="K61" s="25">
        <v>1400</v>
      </c>
      <c r="L61" s="25"/>
      <c r="M61" s="25"/>
      <c r="S61" s="25"/>
      <c r="T61" s="25"/>
      <c r="U61" s="25"/>
      <c r="V61" s="25"/>
      <c r="W61" s="25"/>
      <c r="Y61" s="1" t="s">
        <v>84</v>
      </c>
      <c r="Z61" s="1">
        <v>1000</v>
      </c>
      <c r="AA61" s="1">
        <v>1000</v>
      </c>
      <c r="AB61" s="69">
        <v>80</v>
      </c>
      <c r="AC61" s="69">
        <f t="shared" si="30"/>
        <v>920</v>
      </c>
      <c r="AD61" s="25"/>
      <c r="AE61" s="25"/>
      <c r="AF61" s="25">
        <f t="shared" si="31"/>
        <v>8</v>
      </c>
      <c r="AG61" s="1">
        <f t="shared" si="15"/>
        <v>8</v>
      </c>
      <c r="AH61" s="1" t="b">
        <f t="shared" si="32"/>
        <v>0</v>
      </c>
      <c r="AI61" s="1" t="s">
        <v>85</v>
      </c>
      <c r="AJ61" s="1">
        <v>250</v>
      </c>
      <c r="AK61" s="1">
        <v>4000</v>
      </c>
      <c r="AL61" s="69">
        <v>80</v>
      </c>
      <c r="AM61" s="69">
        <f t="shared" si="33"/>
        <v>170</v>
      </c>
      <c r="AN61" s="25"/>
      <c r="AO61" s="25"/>
      <c r="AP61" s="25">
        <f t="shared" si="34"/>
        <v>24</v>
      </c>
      <c r="AQ61" s="25">
        <f t="shared" si="35"/>
        <v>6</v>
      </c>
    </row>
    <row r="62" spans="3:43" x14ac:dyDescent="0.2">
      <c r="C62" s="25"/>
      <c r="D62" s="25"/>
      <c r="E62" s="25"/>
      <c r="F62" s="25"/>
      <c r="G62" s="25"/>
      <c r="H62" s="25"/>
      <c r="I62" s="25"/>
      <c r="J62" s="25" t="s">
        <v>333</v>
      </c>
      <c r="K62" s="25">
        <v>1400</v>
      </c>
      <c r="L62" s="25"/>
      <c r="M62" s="25"/>
      <c r="S62" s="25"/>
      <c r="T62" s="25"/>
      <c r="U62" s="25"/>
      <c r="V62" s="25"/>
      <c r="W62" s="25"/>
      <c r="Y62" s="1" t="s">
        <v>84</v>
      </c>
      <c r="Z62" s="1">
        <v>1000</v>
      </c>
      <c r="AA62" s="1">
        <v>1000</v>
      </c>
      <c r="AB62" s="69">
        <v>90</v>
      </c>
      <c r="AC62" s="69">
        <f t="shared" si="30"/>
        <v>910</v>
      </c>
      <c r="AD62" s="25"/>
      <c r="AE62" s="25"/>
      <c r="AF62" s="25">
        <f t="shared" si="31"/>
        <v>8</v>
      </c>
      <c r="AG62" s="1">
        <f t="shared" si="15"/>
        <v>8</v>
      </c>
      <c r="AH62" s="1" t="b">
        <f t="shared" si="32"/>
        <v>0</v>
      </c>
      <c r="AI62" s="1" t="s">
        <v>85</v>
      </c>
      <c r="AJ62" s="1">
        <v>250</v>
      </c>
      <c r="AK62" s="1">
        <v>4000</v>
      </c>
      <c r="AL62" s="69">
        <v>90</v>
      </c>
      <c r="AM62" s="69">
        <f t="shared" si="33"/>
        <v>160</v>
      </c>
      <c r="AN62" s="25"/>
      <c r="AO62" s="25"/>
      <c r="AP62" s="25">
        <f t="shared" si="34"/>
        <v>25</v>
      </c>
      <c r="AQ62" s="25">
        <f t="shared" si="35"/>
        <v>7</v>
      </c>
    </row>
    <row r="63" spans="3:43" x14ac:dyDescent="0.2">
      <c r="C63" s="25"/>
      <c r="D63" s="25"/>
      <c r="E63" s="25"/>
      <c r="F63" s="25"/>
      <c r="G63" s="25"/>
      <c r="H63" s="25"/>
      <c r="I63" s="25"/>
      <c r="J63" s="25" t="s">
        <v>334</v>
      </c>
      <c r="K63" s="25">
        <v>1400</v>
      </c>
      <c r="L63" s="25"/>
      <c r="M63" s="25"/>
      <c r="S63" s="25"/>
      <c r="T63" s="25"/>
      <c r="U63" s="25"/>
      <c r="V63" s="25"/>
      <c r="W63" s="25"/>
      <c r="Y63" s="1" t="s">
        <v>84</v>
      </c>
      <c r="Z63" s="1">
        <v>1000</v>
      </c>
      <c r="AA63" s="1">
        <v>1000</v>
      </c>
      <c r="AB63" s="69">
        <v>100</v>
      </c>
      <c r="AC63" s="69">
        <f t="shared" si="30"/>
        <v>900</v>
      </c>
      <c r="AD63" s="25"/>
      <c r="AE63" s="25"/>
      <c r="AF63" s="25">
        <f t="shared" si="31"/>
        <v>8</v>
      </c>
      <c r="AG63" s="1">
        <f t="shared" si="15"/>
        <v>8</v>
      </c>
      <c r="AH63" s="1" t="b">
        <f t="shared" si="32"/>
        <v>0</v>
      </c>
      <c r="AI63" s="1" t="s">
        <v>85</v>
      </c>
      <c r="AJ63" s="1">
        <v>250</v>
      </c>
      <c r="AK63" s="1">
        <v>4000</v>
      </c>
      <c r="AL63" s="69">
        <v>100</v>
      </c>
      <c r="AM63" s="69">
        <f t="shared" si="33"/>
        <v>150</v>
      </c>
      <c r="AN63" s="25"/>
      <c r="AO63" s="25"/>
      <c r="AP63" s="25">
        <f t="shared" si="34"/>
        <v>27</v>
      </c>
      <c r="AQ63" s="25">
        <f t="shared" si="35"/>
        <v>7</v>
      </c>
    </row>
    <row r="64" spans="3:43" x14ac:dyDescent="0.2"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S64" s="25"/>
      <c r="T64" s="25"/>
      <c r="U64" s="25"/>
      <c r="V64" s="25"/>
      <c r="W64" s="25"/>
      <c r="Y64" s="1" t="s">
        <v>84</v>
      </c>
      <c r="Z64" s="1">
        <v>1000</v>
      </c>
      <c r="AA64" s="1">
        <v>1000</v>
      </c>
      <c r="AB64" s="69">
        <v>110</v>
      </c>
      <c r="AC64" s="69">
        <f t="shared" si="30"/>
        <v>890</v>
      </c>
      <c r="AD64" s="25"/>
      <c r="AE64" s="25"/>
      <c r="AF64" s="25">
        <f>ROUNDUP(AA64/AC64,0)*4</f>
        <v>8</v>
      </c>
      <c r="AG64" s="1">
        <f>AF64/1</f>
        <v>8</v>
      </c>
      <c r="AH64" s="1" t="b">
        <f t="shared" si="32"/>
        <v>0</v>
      </c>
      <c r="AI64" s="1" t="s">
        <v>85</v>
      </c>
      <c r="AJ64" s="1">
        <v>250</v>
      </c>
      <c r="AK64" s="1">
        <v>4000</v>
      </c>
      <c r="AL64" s="69">
        <v>110</v>
      </c>
      <c r="AM64" s="69">
        <f t="shared" si="33"/>
        <v>140</v>
      </c>
      <c r="AN64" s="25"/>
      <c r="AO64" s="25"/>
      <c r="AP64" s="25">
        <f>ROUNDUP(AK64/AM64,0)</f>
        <v>29</v>
      </c>
      <c r="AQ64" s="25">
        <f>ROUNDUP(AP64/4,0)</f>
        <v>8</v>
      </c>
    </row>
    <row r="65" spans="3:43" x14ac:dyDescent="0.2">
      <c r="C65" s="25"/>
      <c r="D65" s="25"/>
      <c r="E65" s="25" t="s">
        <v>329</v>
      </c>
      <c r="F65" s="25">
        <v>5000</v>
      </c>
      <c r="G65" s="25"/>
      <c r="H65" s="25"/>
      <c r="I65" s="25"/>
      <c r="J65" s="25" t="s">
        <v>330</v>
      </c>
      <c r="K65" s="24">
        <v>0</v>
      </c>
      <c r="L65" s="25"/>
      <c r="M65" s="25"/>
      <c r="S65" s="25"/>
      <c r="T65" s="25"/>
      <c r="U65" s="25"/>
      <c r="V65" s="25"/>
      <c r="W65" s="25"/>
      <c r="Y65" s="1" t="s">
        <v>84</v>
      </c>
      <c r="Z65" s="1">
        <v>1000</v>
      </c>
      <c r="AA65" s="1">
        <v>1000</v>
      </c>
      <c r="AB65" s="69">
        <v>120</v>
      </c>
      <c r="AC65" s="69">
        <f t="shared" si="30"/>
        <v>880</v>
      </c>
      <c r="AD65" s="25"/>
      <c r="AE65" s="25"/>
      <c r="AF65" s="25">
        <f t="shared" ref="AF65:AF73" si="36">ROUNDUP(AA65/AC65,0)*4</f>
        <v>8</v>
      </c>
      <c r="AG65" s="1">
        <f t="shared" si="15"/>
        <v>8</v>
      </c>
      <c r="AH65" s="1" t="b">
        <f t="shared" si="32"/>
        <v>0</v>
      </c>
      <c r="AI65" s="1" t="s">
        <v>85</v>
      </c>
      <c r="AJ65" s="1">
        <v>250</v>
      </c>
      <c r="AK65" s="1">
        <v>4000</v>
      </c>
      <c r="AL65" s="69">
        <v>120</v>
      </c>
      <c r="AM65" s="69">
        <f t="shared" si="33"/>
        <v>130</v>
      </c>
      <c r="AN65" s="25"/>
      <c r="AO65" s="25"/>
      <c r="AP65" s="25">
        <f t="shared" ref="AP65:AP73" si="37">ROUNDUP(AK65/AM65,0)</f>
        <v>31</v>
      </c>
      <c r="AQ65" s="25">
        <f t="shared" si="35"/>
        <v>8</v>
      </c>
    </row>
    <row r="66" spans="3:43" x14ac:dyDescent="0.2">
      <c r="C66" s="25"/>
      <c r="D66" s="25"/>
      <c r="E66" s="25"/>
      <c r="F66" s="25"/>
      <c r="G66" s="25"/>
      <c r="H66" s="25"/>
      <c r="I66" s="25"/>
      <c r="J66" s="25" t="s">
        <v>331</v>
      </c>
      <c r="K66" s="24">
        <v>1400</v>
      </c>
      <c r="L66" s="25"/>
      <c r="M66" s="25"/>
      <c r="S66" s="25"/>
      <c r="T66" s="25"/>
      <c r="U66" s="25"/>
      <c r="V66" s="25"/>
      <c r="W66" s="25"/>
      <c r="Y66" s="1" t="s">
        <v>84</v>
      </c>
      <c r="Z66" s="1">
        <v>1000</v>
      </c>
      <c r="AA66" s="1">
        <v>1000</v>
      </c>
      <c r="AB66" s="69">
        <v>130</v>
      </c>
      <c r="AC66" s="69">
        <f t="shared" si="30"/>
        <v>870</v>
      </c>
      <c r="AD66" s="25"/>
      <c r="AE66" s="25"/>
      <c r="AF66" s="25">
        <f t="shared" si="36"/>
        <v>8</v>
      </c>
      <c r="AG66" s="1">
        <f t="shared" si="15"/>
        <v>8</v>
      </c>
      <c r="AH66" s="1" t="b">
        <f t="shared" si="32"/>
        <v>1</v>
      </c>
      <c r="AI66" s="1" t="s">
        <v>85</v>
      </c>
      <c r="AJ66" s="1">
        <v>250</v>
      </c>
      <c r="AK66" s="1">
        <v>4000</v>
      </c>
      <c r="AL66" s="69">
        <v>130</v>
      </c>
      <c r="AM66" s="69">
        <f t="shared" si="33"/>
        <v>120</v>
      </c>
      <c r="AN66" s="25"/>
      <c r="AO66" s="25"/>
      <c r="AP66" s="25">
        <f t="shared" si="37"/>
        <v>34</v>
      </c>
      <c r="AQ66" s="25">
        <f t="shared" si="35"/>
        <v>9</v>
      </c>
    </row>
    <row r="67" spans="3:43" x14ac:dyDescent="0.2">
      <c r="C67" s="25"/>
      <c r="D67" s="25"/>
      <c r="E67" s="25"/>
      <c r="F67" s="25"/>
      <c r="G67" s="25"/>
      <c r="H67" s="25"/>
      <c r="I67" s="25"/>
      <c r="J67" s="25" t="s">
        <v>332</v>
      </c>
      <c r="K67" s="24">
        <v>1400</v>
      </c>
      <c r="L67" s="25"/>
      <c r="M67" s="25"/>
      <c r="S67" s="25"/>
      <c r="T67" s="25"/>
      <c r="U67" s="25"/>
      <c r="V67" s="25"/>
      <c r="W67" s="25"/>
      <c r="Y67" s="1" t="s">
        <v>84</v>
      </c>
      <c r="Z67" s="1">
        <v>1000</v>
      </c>
      <c r="AA67" s="1">
        <v>1000</v>
      </c>
      <c r="AB67" s="69">
        <v>140</v>
      </c>
      <c r="AC67" s="69">
        <f t="shared" si="30"/>
        <v>860</v>
      </c>
      <c r="AD67" s="25"/>
      <c r="AE67" s="25"/>
      <c r="AF67" s="25">
        <f t="shared" si="36"/>
        <v>8</v>
      </c>
      <c r="AG67" s="1">
        <f t="shared" si="15"/>
        <v>8</v>
      </c>
      <c r="AH67" s="1" t="b">
        <f t="shared" si="32"/>
        <v>1</v>
      </c>
      <c r="AI67" s="1" t="s">
        <v>85</v>
      </c>
      <c r="AJ67" s="1">
        <v>250</v>
      </c>
      <c r="AK67" s="1">
        <v>4000</v>
      </c>
      <c r="AL67" s="69">
        <v>140</v>
      </c>
      <c r="AM67" s="69">
        <f t="shared" si="33"/>
        <v>110</v>
      </c>
      <c r="AN67" s="25"/>
      <c r="AO67" s="25"/>
      <c r="AP67" s="25">
        <f t="shared" si="37"/>
        <v>37</v>
      </c>
      <c r="AQ67" s="25">
        <f t="shared" si="35"/>
        <v>10</v>
      </c>
    </row>
    <row r="68" spans="3:43" x14ac:dyDescent="0.2">
      <c r="C68" s="25"/>
      <c r="D68" s="25"/>
      <c r="E68" s="25"/>
      <c r="F68" s="25"/>
      <c r="G68" s="25"/>
      <c r="H68" s="25"/>
      <c r="I68" s="25"/>
      <c r="J68" s="25" t="s">
        <v>333</v>
      </c>
      <c r="K68" s="24">
        <v>1400</v>
      </c>
      <c r="L68" s="25"/>
      <c r="M68" s="25"/>
      <c r="S68" s="25"/>
      <c r="T68" s="25"/>
      <c r="U68" s="25"/>
      <c r="V68" s="25"/>
      <c r="W68" s="25"/>
      <c r="Y68" s="1" t="s">
        <v>84</v>
      </c>
      <c r="Z68" s="1">
        <v>1000</v>
      </c>
      <c r="AA68" s="1">
        <v>1000</v>
      </c>
      <c r="AB68" s="69">
        <v>150</v>
      </c>
      <c r="AC68" s="69">
        <f t="shared" si="30"/>
        <v>850</v>
      </c>
      <c r="AD68" s="25"/>
      <c r="AE68" s="25"/>
      <c r="AF68" s="25">
        <f t="shared" si="36"/>
        <v>8</v>
      </c>
      <c r="AG68" s="1">
        <f t="shared" si="15"/>
        <v>8</v>
      </c>
      <c r="AH68" s="1" t="b">
        <f t="shared" si="32"/>
        <v>1</v>
      </c>
      <c r="AI68" s="1" t="s">
        <v>85</v>
      </c>
      <c r="AJ68" s="1">
        <v>250</v>
      </c>
      <c r="AK68" s="1">
        <v>4000</v>
      </c>
      <c r="AL68" s="69">
        <v>150</v>
      </c>
      <c r="AM68" s="69">
        <f t="shared" si="33"/>
        <v>100</v>
      </c>
      <c r="AN68" s="25"/>
      <c r="AO68" s="25"/>
      <c r="AP68" s="25">
        <f t="shared" si="37"/>
        <v>40</v>
      </c>
      <c r="AQ68" s="25">
        <f t="shared" si="35"/>
        <v>10</v>
      </c>
    </row>
    <row r="69" spans="3:43" x14ac:dyDescent="0.2">
      <c r="C69" s="25"/>
      <c r="D69" s="25"/>
      <c r="E69" s="25"/>
      <c r="F69" s="25"/>
      <c r="G69" s="25"/>
      <c r="H69" s="25"/>
      <c r="I69" s="25"/>
      <c r="J69" s="25" t="s">
        <v>334</v>
      </c>
      <c r="K69" s="24">
        <v>1400</v>
      </c>
      <c r="L69" s="25"/>
      <c r="M69" s="25"/>
      <c r="S69" s="25"/>
      <c r="T69" s="25"/>
      <c r="U69" s="25"/>
      <c r="V69" s="25"/>
      <c r="W69" s="25"/>
      <c r="Y69" s="1" t="s">
        <v>84</v>
      </c>
      <c r="Z69" s="1">
        <v>1000</v>
      </c>
      <c r="AA69" s="1">
        <v>1000</v>
      </c>
      <c r="AB69" s="69">
        <v>160</v>
      </c>
      <c r="AC69" s="69">
        <f t="shared" si="30"/>
        <v>840</v>
      </c>
      <c r="AD69" s="25"/>
      <c r="AE69" s="25"/>
      <c r="AF69" s="25">
        <f t="shared" si="36"/>
        <v>8</v>
      </c>
      <c r="AG69" s="1">
        <f t="shared" si="15"/>
        <v>8</v>
      </c>
      <c r="AH69" s="1" t="b">
        <f t="shared" si="32"/>
        <v>1</v>
      </c>
      <c r="AI69" s="1" t="s">
        <v>85</v>
      </c>
      <c r="AJ69" s="1">
        <v>250</v>
      </c>
      <c r="AK69" s="1">
        <v>4000</v>
      </c>
      <c r="AL69" s="69">
        <v>160</v>
      </c>
      <c r="AM69" s="69">
        <f t="shared" si="33"/>
        <v>90</v>
      </c>
      <c r="AN69" s="25"/>
      <c r="AO69" s="25"/>
      <c r="AP69" s="25">
        <f t="shared" si="37"/>
        <v>45</v>
      </c>
      <c r="AQ69" s="25">
        <f t="shared" si="35"/>
        <v>12</v>
      </c>
    </row>
    <row r="70" spans="3:43" x14ac:dyDescent="0.2"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S70" s="25"/>
      <c r="T70" s="25"/>
      <c r="U70" s="25"/>
      <c r="V70" s="25"/>
      <c r="W70" s="25"/>
      <c r="Y70" s="1" t="s">
        <v>84</v>
      </c>
      <c r="Z70" s="1">
        <v>1000</v>
      </c>
      <c r="AA70" s="1">
        <v>1000</v>
      </c>
      <c r="AB70" s="69">
        <v>170</v>
      </c>
      <c r="AC70" s="69">
        <f t="shared" si="30"/>
        <v>830</v>
      </c>
      <c r="AD70" s="25"/>
      <c r="AE70" s="25"/>
      <c r="AF70" s="25">
        <f t="shared" si="36"/>
        <v>8</v>
      </c>
      <c r="AG70" s="1">
        <f t="shared" si="15"/>
        <v>8</v>
      </c>
      <c r="AH70" s="1" t="b">
        <f t="shared" si="32"/>
        <v>1</v>
      </c>
      <c r="AI70" s="1" t="s">
        <v>85</v>
      </c>
      <c r="AJ70" s="1">
        <v>250</v>
      </c>
      <c r="AK70" s="1">
        <v>4000</v>
      </c>
      <c r="AL70" s="69">
        <v>170</v>
      </c>
      <c r="AM70" s="69">
        <f t="shared" si="33"/>
        <v>80</v>
      </c>
      <c r="AN70" s="25"/>
      <c r="AO70" s="25"/>
      <c r="AP70" s="25">
        <f t="shared" si="37"/>
        <v>50</v>
      </c>
      <c r="AQ70" s="25">
        <f t="shared" si="35"/>
        <v>13</v>
      </c>
    </row>
    <row r="71" spans="3:43" x14ac:dyDescent="0.2">
      <c r="C71" s="25">
        <v>6</v>
      </c>
      <c r="D71" s="25">
        <v>5</v>
      </c>
      <c r="E71" s="25" t="s">
        <v>329</v>
      </c>
      <c r="F71" s="24">
        <v>4680</v>
      </c>
      <c r="G71" s="25"/>
      <c r="H71" s="25"/>
      <c r="I71" s="25"/>
      <c r="J71" s="25" t="s">
        <v>330</v>
      </c>
      <c r="K71" s="25">
        <v>0</v>
      </c>
      <c r="L71" s="25"/>
      <c r="M71" s="25"/>
      <c r="S71" s="25"/>
      <c r="T71" s="25"/>
      <c r="U71" s="25"/>
      <c r="V71" s="25"/>
      <c r="W71" s="25"/>
      <c r="Y71" s="1" t="s">
        <v>84</v>
      </c>
      <c r="Z71" s="1">
        <v>1000</v>
      </c>
      <c r="AA71" s="1">
        <v>1000</v>
      </c>
      <c r="AB71" s="69">
        <v>180</v>
      </c>
      <c r="AC71" s="69">
        <f t="shared" si="30"/>
        <v>820</v>
      </c>
      <c r="AD71" s="25"/>
      <c r="AE71" s="25"/>
      <c r="AF71" s="25">
        <f t="shared" si="36"/>
        <v>8</v>
      </c>
      <c r="AG71" s="1">
        <f t="shared" si="15"/>
        <v>8</v>
      </c>
      <c r="AH71" s="1" t="b">
        <f t="shared" si="32"/>
        <v>1</v>
      </c>
      <c r="AI71" s="1" t="s">
        <v>85</v>
      </c>
      <c r="AJ71" s="1">
        <v>250</v>
      </c>
      <c r="AK71" s="1">
        <v>4000</v>
      </c>
      <c r="AL71" s="69">
        <v>180</v>
      </c>
      <c r="AM71" s="69">
        <f t="shared" si="33"/>
        <v>70</v>
      </c>
      <c r="AN71" s="25"/>
      <c r="AO71" s="25"/>
      <c r="AP71" s="25">
        <f t="shared" si="37"/>
        <v>58</v>
      </c>
      <c r="AQ71" s="25">
        <f t="shared" si="35"/>
        <v>15</v>
      </c>
    </row>
    <row r="72" spans="3:43" x14ac:dyDescent="0.2">
      <c r="C72" s="25"/>
      <c r="D72" s="25"/>
      <c r="E72" s="25"/>
      <c r="F72" s="25"/>
      <c r="G72" s="25"/>
      <c r="H72" s="25"/>
      <c r="I72" s="25"/>
      <c r="J72" s="25" t="s">
        <v>331</v>
      </c>
      <c r="K72" s="25">
        <v>1400</v>
      </c>
      <c r="L72" s="25"/>
      <c r="M72" s="25"/>
      <c r="S72" s="25"/>
      <c r="T72" s="25"/>
      <c r="U72" s="25"/>
      <c r="V72" s="25"/>
      <c r="W72" s="25"/>
      <c r="Y72" s="1" t="s">
        <v>84</v>
      </c>
      <c r="Z72" s="1">
        <v>1000</v>
      </c>
      <c r="AA72" s="1">
        <v>1000</v>
      </c>
      <c r="AB72" s="69">
        <v>190</v>
      </c>
      <c r="AC72" s="69">
        <f t="shared" si="30"/>
        <v>810</v>
      </c>
      <c r="AD72" s="25"/>
      <c r="AE72" s="25"/>
      <c r="AF72" s="25">
        <f t="shared" si="36"/>
        <v>8</v>
      </c>
      <c r="AG72" s="1">
        <f t="shared" si="15"/>
        <v>8</v>
      </c>
      <c r="AH72" s="1" t="b">
        <f t="shared" si="32"/>
        <v>1</v>
      </c>
      <c r="AI72" s="1" t="s">
        <v>85</v>
      </c>
      <c r="AJ72" s="1">
        <v>250</v>
      </c>
      <c r="AK72" s="1">
        <v>4000</v>
      </c>
      <c r="AL72" s="69">
        <v>190</v>
      </c>
      <c r="AM72" s="69">
        <f t="shared" si="33"/>
        <v>60</v>
      </c>
      <c r="AN72" s="25"/>
      <c r="AO72" s="25"/>
      <c r="AP72" s="25">
        <f t="shared" si="37"/>
        <v>67</v>
      </c>
      <c r="AQ72" s="25">
        <f t="shared" si="35"/>
        <v>17</v>
      </c>
    </row>
    <row r="73" spans="3:43" x14ac:dyDescent="0.2">
      <c r="C73" s="25"/>
      <c r="D73" s="25"/>
      <c r="E73" s="25"/>
      <c r="F73" s="25"/>
      <c r="G73" s="25"/>
      <c r="H73" s="25"/>
      <c r="I73" s="25"/>
      <c r="J73" s="25" t="s">
        <v>332</v>
      </c>
      <c r="K73" s="25">
        <v>1400</v>
      </c>
      <c r="L73" s="25"/>
      <c r="M73" s="25"/>
      <c r="S73" s="25"/>
      <c r="T73" s="25"/>
      <c r="U73" s="25"/>
      <c r="V73" s="25"/>
      <c r="W73" s="25"/>
      <c r="Y73" s="1" t="s">
        <v>84</v>
      </c>
      <c r="Z73" s="1">
        <v>1000</v>
      </c>
      <c r="AA73" s="1">
        <v>1000</v>
      </c>
      <c r="AB73" s="69">
        <v>200</v>
      </c>
      <c r="AC73" s="69">
        <f t="shared" si="30"/>
        <v>800</v>
      </c>
      <c r="AD73" s="25"/>
      <c r="AE73" s="25"/>
      <c r="AF73" s="25">
        <f t="shared" si="36"/>
        <v>8</v>
      </c>
      <c r="AG73" s="1">
        <f t="shared" si="15"/>
        <v>8</v>
      </c>
      <c r="AH73" s="1" t="b">
        <f t="shared" si="32"/>
        <v>1</v>
      </c>
      <c r="AI73" s="1" t="s">
        <v>85</v>
      </c>
      <c r="AJ73" s="1">
        <v>250</v>
      </c>
      <c r="AK73" s="1">
        <v>4000</v>
      </c>
      <c r="AL73" s="69">
        <v>200</v>
      </c>
      <c r="AM73" s="69">
        <f t="shared" si="33"/>
        <v>50</v>
      </c>
      <c r="AN73" s="25"/>
      <c r="AO73" s="25"/>
      <c r="AP73" s="25">
        <f t="shared" si="37"/>
        <v>80</v>
      </c>
      <c r="AQ73" s="25">
        <f t="shared" si="35"/>
        <v>20</v>
      </c>
    </row>
    <row r="74" spans="3:43" x14ac:dyDescent="0.2">
      <c r="C74" s="25"/>
      <c r="D74" s="25"/>
      <c r="E74" s="25"/>
      <c r="F74" s="25"/>
      <c r="G74" s="25"/>
      <c r="H74" s="25"/>
      <c r="I74" s="25"/>
      <c r="J74" s="25" t="s">
        <v>333</v>
      </c>
      <c r="K74" s="25">
        <v>1400</v>
      </c>
      <c r="L74" s="25"/>
      <c r="M74" s="25"/>
      <c r="S74" s="25"/>
      <c r="T74" s="25"/>
      <c r="U74" s="25"/>
      <c r="V74" s="25"/>
      <c r="W74" s="25"/>
      <c r="Y74" s="25"/>
      <c r="Z74" s="25"/>
      <c r="AA74" s="25"/>
      <c r="AB74" s="25"/>
      <c r="AC74" s="25"/>
      <c r="AD74" s="25"/>
      <c r="AE74" s="25"/>
      <c r="AF74" s="24"/>
      <c r="AG74" s="24"/>
    </row>
    <row r="75" spans="3:43" x14ac:dyDescent="0.2">
      <c r="C75" s="25"/>
      <c r="D75" s="25"/>
      <c r="E75" s="25"/>
      <c r="F75" s="25"/>
      <c r="G75" s="25"/>
      <c r="H75" s="25"/>
      <c r="I75" s="25"/>
      <c r="J75" s="25" t="s">
        <v>334</v>
      </c>
      <c r="K75" s="25">
        <v>1400</v>
      </c>
      <c r="L75" s="25"/>
      <c r="M75" s="25"/>
      <c r="S75" s="25"/>
      <c r="T75" s="25"/>
      <c r="U75" s="25"/>
      <c r="V75" s="25"/>
      <c r="W75" s="25"/>
      <c r="Y75" s="25"/>
      <c r="Z75" s="25" t="s">
        <v>102</v>
      </c>
      <c r="AA75" s="25"/>
      <c r="AB75" s="25"/>
      <c r="AC75" s="57"/>
      <c r="AD75" s="25"/>
      <c r="AE75" s="25"/>
      <c r="AF75" s="25"/>
      <c r="AG75" s="25"/>
    </row>
    <row r="76" spans="3:43" x14ac:dyDescent="0.2"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S76" s="25"/>
      <c r="T76" s="25"/>
      <c r="U76" s="25"/>
      <c r="V76" s="25"/>
      <c r="W76" s="25"/>
      <c r="Y76" s="25"/>
      <c r="Z76" s="25"/>
      <c r="AA76" s="25"/>
      <c r="AB76" s="25"/>
      <c r="AC76" s="57"/>
      <c r="AD76" s="25"/>
      <c r="AE76" s="25"/>
      <c r="AF76" s="25"/>
      <c r="AG76" s="25"/>
    </row>
    <row r="77" spans="3:43" x14ac:dyDescent="0.2">
      <c r="C77" s="25">
        <v>7</v>
      </c>
      <c r="D77" s="25">
        <v>6</v>
      </c>
      <c r="E77" s="25" t="s">
        <v>329</v>
      </c>
      <c r="F77" s="24">
        <v>4360</v>
      </c>
      <c r="G77" s="25"/>
      <c r="H77" s="25"/>
      <c r="I77" s="25"/>
      <c r="J77" s="25" t="s">
        <v>330</v>
      </c>
      <c r="K77" s="25">
        <v>0</v>
      </c>
      <c r="L77" s="25"/>
      <c r="M77" s="25"/>
      <c r="S77" s="25"/>
      <c r="T77" s="25"/>
      <c r="U77" s="25"/>
      <c r="V77" s="25"/>
      <c r="W77" s="25"/>
      <c r="Y77" s="25"/>
      <c r="Z77" s="25"/>
      <c r="AA77" s="25"/>
      <c r="AB77" s="25"/>
      <c r="AC77" s="57"/>
      <c r="AD77" s="25"/>
      <c r="AE77" s="25"/>
      <c r="AF77" s="25"/>
      <c r="AG77" s="25"/>
    </row>
    <row r="78" spans="3:43" x14ac:dyDescent="0.2">
      <c r="C78" s="25"/>
      <c r="D78" s="25"/>
      <c r="E78" s="25"/>
      <c r="F78" s="25"/>
      <c r="G78" s="25"/>
      <c r="H78" s="25"/>
      <c r="I78" s="25"/>
      <c r="J78" s="25" t="s">
        <v>331</v>
      </c>
      <c r="K78" s="25">
        <v>1400</v>
      </c>
      <c r="L78" s="25"/>
      <c r="M78" s="25"/>
      <c r="S78" s="25"/>
      <c r="T78" s="25"/>
      <c r="U78" s="25"/>
      <c r="V78" s="25"/>
      <c r="W78" s="25"/>
      <c r="Y78" s="25"/>
      <c r="Z78" s="25"/>
      <c r="AA78" s="25"/>
      <c r="AB78" s="4"/>
      <c r="AC78" s="4"/>
      <c r="AD78" s="4"/>
      <c r="AE78" s="25"/>
      <c r="AF78" s="25"/>
    </row>
    <row r="79" spans="3:43" x14ac:dyDescent="0.2">
      <c r="C79" s="25"/>
      <c r="D79" s="25"/>
      <c r="E79" s="25"/>
      <c r="F79" s="25"/>
      <c r="G79" s="25"/>
      <c r="H79" s="25"/>
      <c r="I79" s="25"/>
      <c r="J79" s="25" t="s">
        <v>332</v>
      </c>
      <c r="K79" s="25">
        <v>1400</v>
      </c>
      <c r="L79" s="25"/>
      <c r="M79" s="25"/>
      <c r="S79" s="25"/>
      <c r="T79" s="25"/>
      <c r="U79" s="25"/>
      <c r="V79" s="25"/>
      <c r="W79" s="25"/>
      <c r="Y79" s="25"/>
      <c r="Z79" s="25"/>
      <c r="AA79" s="25"/>
      <c r="AB79" s="4"/>
      <c r="AC79" s="4"/>
      <c r="AD79" s="4"/>
      <c r="AE79" s="25"/>
      <c r="AF79" s="25"/>
      <c r="AG79" s="25"/>
    </row>
    <row r="80" spans="3:43" x14ac:dyDescent="0.2">
      <c r="C80" s="25"/>
      <c r="D80" s="25"/>
      <c r="E80" s="25"/>
      <c r="F80" s="25"/>
      <c r="G80" s="25"/>
      <c r="H80" s="25"/>
      <c r="I80" s="25"/>
      <c r="J80" s="25" t="s">
        <v>333</v>
      </c>
      <c r="K80" s="25">
        <v>1400</v>
      </c>
      <c r="L80" s="25"/>
      <c r="M80" s="25"/>
      <c r="S80" s="25"/>
      <c r="T80" s="25"/>
      <c r="U80" s="25"/>
      <c r="V80" s="25"/>
      <c r="W80" s="25"/>
      <c r="Y80" s="25"/>
      <c r="Z80" s="25"/>
      <c r="AA80" s="25"/>
      <c r="AB80" s="4"/>
      <c r="AC80" s="4"/>
      <c r="AD80" s="4"/>
      <c r="AE80" s="25"/>
      <c r="AF80" s="24"/>
      <c r="AG80" s="24"/>
    </row>
    <row r="81" spans="3:33" x14ac:dyDescent="0.2">
      <c r="C81" s="25"/>
      <c r="D81" s="25"/>
      <c r="E81" s="25"/>
      <c r="F81" s="25"/>
      <c r="G81" s="25"/>
      <c r="H81" s="25"/>
      <c r="I81" s="25"/>
      <c r="J81" s="25" t="s">
        <v>334</v>
      </c>
      <c r="K81" s="25">
        <v>1400</v>
      </c>
      <c r="L81" s="25"/>
      <c r="M81" s="25"/>
      <c r="S81" s="25"/>
      <c r="T81" s="25"/>
      <c r="U81" s="25"/>
      <c r="V81" s="25"/>
      <c r="W81" s="25"/>
      <c r="Y81" s="25"/>
      <c r="Z81" s="25"/>
      <c r="AA81" s="25"/>
      <c r="AB81" s="25"/>
      <c r="AC81" s="57"/>
      <c r="AD81" s="25"/>
      <c r="AE81" s="25"/>
      <c r="AF81" s="25"/>
      <c r="AG81" s="25"/>
    </row>
    <row r="82" spans="3:33" x14ac:dyDescent="0.2"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S82" s="25"/>
      <c r="T82" s="25"/>
      <c r="U82" s="25"/>
      <c r="V82" s="25"/>
      <c r="W82" s="25"/>
      <c r="Y82" s="25"/>
      <c r="Z82" s="25"/>
      <c r="AA82" s="25"/>
      <c r="AB82" s="25"/>
      <c r="AC82" s="57"/>
      <c r="AD82" s="25"/>
      <c r="AE82" s="25"/>
      <c r="AF82" s="25"/>
      <c r="AG82" s="25"/>
    </row>
    <row r="83" spans="3:33" x14ac:dyDescent="0.2">
      <c r="C83" s="25"/>
      <c r="D83" s="25"/>
      <c r="E83" s="25" t="s">
        <v>329</v>
      </c>
      <c r="F83" s="25">
        <v>4360</v>
      </c>
      <c r="G83" s="25"/>
      <c r="H83" s="25"/>
      <c r="I83" s="25"/>
      <c r="J83" s="25" t="s">
        <v>330</v>
      </c>
      <c r="K83" s="24">
        <v>0</v>
      </c>
      <c r="L83" s="25"/>
      <c r="M83" s="25"/>
      <c r="S83" s="25"/>
      <c r="T83" s="25"/>
      <c r="U83" s="25"/>
      <c r="V83" s="25"/>
      <c r="W83" s="25"/>
      <c r="Y83" s="25"/>
      <c r="Z83" s="25"/>
      <c r="AA83" s="25"/>
      <c r="AB83" s="25"/>
      <c r="AC83" s="57"/>
      <c r="AD83" s="25"/>
      <c r="AE83" s="25"/>
      <c r="AF83" s="25"/>
      <c r="AG83" s="25"/>
    </row>
    <row r="84" spans="3:33" x14ac:dyDescent="0.2">
      <c r="C84" s="25"/>
      <c r="D84" s="25"/>
      <c r="E84" s="25"/>
      <c r="F84" s="25"/>
      <c r="G84" s="25"/>
      <c r="H84" s="25"/>
      <c r="I84" s="25"/>
      <c r="J84" s="25" t="s">
        <v>331</v>
      </c>
      <c r="K84" s="24">
        <v>925</v>
      </c>
      <c r="L84" s="25"/>
      <c r="M84" s="25"/>
      <c r="S84" s="25"/>
      <c r="T84" s="25"/>
      <c r="U84" s="25"/>
      <c r="V84" s="25"/>
      <c r="W84" s="25"/>
      <c r="X84" s="29" t="s">
        <v>55</v>
      </c>
      <c r="Y84" s="30" t="s">
        <v>56</v>
      </c>
      <c r="Z84" s="30" t="s">
        <v>57</v>
      </c>
      <c r="AA84" s="30" t="s">
        <v>58</v>
      </c>
      <c r="AB84" s="31" t="s">
        <v>57</v>
      </c>
      <c r="AC84" s="25"/>
      <c r="AD84" s="25"/>
      <c r="AE84" s="25"/>
      <c r="AF84" s="25"/>
      <c r="AG84" s="4"/>
    </row>
    <row r="85" spans="3:33" x14ac:dyDescent="0.2">
      <c r="C85" s="25"/>
      <c r="D85" s="25"/>
      <c r="E85" s="25"/>
      <c r="F85" s="25"/>
      <c r="G85" s="25"/>
      <c r="H85" s="25"/>
      <c r="I85" s="25"/>
      <c r="J85" s="25" t="s">
        <v>332</v>
      </c>
      <c r="K85" s="24">
        <v>1400</v>
      </c>
      <c r="L85" s="25"/>
      <c r="M85" s="25"/>
      <c r="S85" s="25"/>
      <c r="T85" s="25"/>
      <c r="U85" s="25"/>
      <c r="V85" s="25"/>
      <c r="W85" s="25"/>
      <c r="X85" s="219" t="s">
        <v>59</v>
      </c>
      <c r="Y85" s="32" t="s">
        <v>60</v>
      </c>
      <c r="Z85" s="33">
        <v>11</v>
      </c>
      <c r="AA85" s="33" t="s">
        <v>61</v>
      </c>
      <c r="AB85" s="34">
        <v>10</v>
      </c>
      <c r="AC85" s="25"/>
      <c r="AD85" s="25"/>
      <c r="AE85" s="25"/>
      <c r="AF85" s="25"/>
      <c r="AG85" s="25"/>
    </row>
    <row r="86" spans="3:33" x14ac:dyDescent="0.2">
      <c r="C86" s="25"/>
      <c r="D86" s="25"/>
      <c r="E86" s="25"/>
      <c r="F86" s="25"/>
      <c r="G86" s="25"/>
      <c r="H86" s="25"/>
      <c r="I86" s="25"/>
      <c r="J86" s="25" t="s">
        <v>333</v>
      </c>
      <c r="K86" s="24">
        <v>1400</v>
      </c>
      <c r="L86" s="25"/>
      <c r="M86" s="25"/>
      <c r="S86" s="25"/>
      <c r="T86" s="25"/>
      <c r="U86" s="25"/>
      <c r="V86" s="25"/>
      <c r="W86" s="25"/>
      <c r="X86" s="219"/>
      <c r="Y86" s="35" t="s">
        <v>62</v>
      </c>
      <c r="Z86" s="36">
        <v>12</v>
      </c>
      <c r="AA86" s="37" t="s">
        <v>63</v>
      </c>
      <c r="AB86" s="38">
        <v>9</v>
      </c>
      <c r="AC86" s="25"/>
      <c r="AD86" s="25"/>
      <c r="AE86" s="25"/>
      <c r="AF86" s="24"/>
      <c r="AG86" s="24"/>
    </row>
    <row r="87" spans="3:33" x14ac:dyDescent="0.2">
      <c r="C87" s="25"/>
      <c r="D87" s="25"/>
      <c r="E87" s="25"/>
      <c r="F87" s="25"/>
      <c r="G87" s="25"/>
      <c r="H87" s="25"/>
      <c r="I87" s="25"/>
      <c r="J87" s="25" t="s">
        <v>334</v>
      </c>
      <c r="K87" s="24">
        <v>1400</v>
      </c>
      <c r="L87" s="25"/>
      <c r="M87" s="25"/>
      <c r="S87" s="25"/>
      <c r="T87" s="25"/>
      <c r="U87" s="25"/>
      <c r="V87" s="25"/>
      <c r="W87" s="25"/>
      <c r="X87" s="219"/>
      <c r="Y87" s="39" t="s">
        <v>64</v>
      </c>
      <c r="Z87" s="37">
        <v>20</v>
      </c>
      <c r="AA87" s="37" t="s">
        <v>65</v>
      </c>
      <c r="AB87" s="38">
        <v>3</v>
      </c>
      <c r="AC87" s="57"/>
      <c r="AD87" s="25"/>
      <c r="AE87" s="25"/>
      <c r="AF87" s="25"/>
      <c r="AG87" s="25"/>
    </row>
    <row r="88" spans="3:33" x14ac:dyDescent="0.2"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S88" s="25"/>
      <c r="T88" s="25"/>
      <c r="U88" s="25"/>
      <c r="V88" s="25"/>
      <c r="W88" s="25"/>
      <c r="X88" s="220"/>
      <c r="Y88" s="40" t="s">
        <v>66</v>
      </c>
      <c r="Z88" s="41">
        <v>7</v>
      </c>
      <c r="AA88" s="41" t="s">
        <v>67</v>
      </c>
      <c r="AB88" s="42">
        <v>4</v>
      </c>
      <c r="AC88" s="57"/>
      <c r="AD88" s="25"/>
      <c r="AE88" s="25"/>
      <c r="AF88" s="25"/>
      <c r="AG88" s="25"/>
    </row>
    <row r="89" spans="3:33" x14ac:dyDescent="0.2">
      <c r="C89" s="25">
        <v>8</v>
      </c>
      <c r="D89" s="25">
        <v>7</v>
      </c>
      <c r="E89" s="25" t="s">
        <v>329</v>
      </c>
      <c r="F89" s="24">
        <v>4040</v>
      </c>
      <c r="G89" s="25"/>
      <c r="H89" s="25"/>
      <c r="I89" s="25"/>
      <c r="J89" s="25" t="s">
        <v>330</v>
      </c>
      <c r="K89" s="25">
        <v>0</v>
      </c>
      <c r="L89" s="25"/>
      <c r="M89" s="25"/>
      <c r="S89" s="25"/>
      <c r="T89" s="25"/>
      <c r="U89" s="25"/>
      <c r="V89" s="25"/>
      <c r="W89" s="25"/>
      <c r="X89" s="219" t="s">
        <v>61</v>
      </c>
      <c r="Y89" s="32" t="s">
        <v>59</v>
      </c>
      <c r="Z89" s="33">
        <v>10</v>
      </c>
      <c r="AA89" s="33" t="s">
        <v>60</v>
      </c>
      <c r="AB89" s="34">
        <v>7</v>
      </c>
      <c r="AC89" s="57"/>
      <c r="AD89" s="25"/>
      <c r="AE89" s="25"/>
      <c r="AF89" s="25"/>
      <c r="AG89" s="25"/>
    </row>
    <row r="90" spans="3:33" x14ac:dyDescent="0.2">
      <c r="C90" s="25"/>
      <c r="D90" s="25"/>
      <c r="E90" s="25"/>
      <c r="F90" s="25"/>
      <c r="G90" s="25"/>
      <c r="H90" s="25"/>
      <c r="I90" s="25"/>
      <c r="J90" s="25" t="s">
        <v>331</v>
      </c>
      <c r="K90" s="25">
        <v>925</v>
      </c>
      <c r="L90" s="25"/>
      <c r="M90" s="25"/>
      <c r="S90" s="25"/>
      <c r="T90" s="25"/>
      <c r="U90" s="25"/>
      <c r="V90" s="25"/>
      <c r="W90" s="25"/>
      <c r="X90" s="219"/>
      <c r="Y90" s="43" t="s">
        <v>63</v>
      </c>
      <c r="Z90" s="44">
        <v>11</v>
      </c>
      <c r="AA90" s="44" t="s">
        <v>65</v>
      </c>
      <c r="AB90" s="45">
        <v>4</v>
      </c>
      <c r="AC90" s="25"/>
      <c r="AD90" s="25"/>
      <c r="AE90" s="25"/>
      <c r="AF90" s="25"/>
      <c r="AG90" s="4"/>
    </row>
    <row r="91" spans="3:33" x14ac:dyDescent="0.2">
      <c r="C91" s="25"/>
      <c r="D91" s="25"/>
      <c r="E91" s="25"/>
      <c r="F91" s="25"/>
      <c r="G91" s="25"/>
      <c r="H91" s="25"/>
      <c r="I91" s="25"/>
      <c r="J91" s="25" t="s">
        <v>332</v>
      </c>
      <c r="K91" s="25">
        <v>1400</v>
      </c>
      <c r="L91" s="25"/>
      <c r="M91" s="25"/>
      <c r="S91" s="25"/>
      <c r="T91" s="25"/>
      <c r="U91" s="25"/>
      <c r="V91" s="25"/>
      <c r="W91" s="25"/>
      <c r="X91" s="219"/>
      <c r="Y91" s="43" t="s">
        <v>64</v>
      </c>
      <c r="Z91" s="44">
        <v>8</v>
      </c>
      <c r="AA91" s="44" t="s">
        <v>62</v>
      </c>
      <c r="AB91" s="45">
        <v>4</v>
      </c>
      <c r="AC91" s="25"/>
      <c r="AD91" s="25"/>
      <c r="AE91" s="25"/>
      <c r="AF91" s="25"/>
      <c r="AG91" s="25"/>
    </row>
    <row r="92" spans="3:33" x14ac:dyDescent="0.2">
      <c r="C92" s="25"/>
      <c r="D92" s="25"/>
      <c r="E92" s="25"/>
      <c r="F92" s="25"/>
      <c r="G92" s="25"/>
      <c r="H92" s="25"/>
      <c r="I92" s="25"/>
      <c r="J92" s="25" t="s">
        <v>333</v>
      </c>
      <c r="K92" s="25">
        <v>1400</v>
      </c>
      <c r="L92" s="25"/>
      <c r="M92" s="25"/>
      <c r="S92" s="25"/>
      <c r="T92" s="25"/>
      <c r="U92" s="25"/>
      <c r="V92" s="25"/>
      <c r="W92" s="25"/>
      <c r="X92" s="220"/>
      <c r="Y92" s="46" t="s">
        <v>67</v>
      </c>
      <c r="Z92" s="47">
        <v>3</v>
      </c>
      <c r="AA92" s="47" t="s">
        <v>66</v>
      </c>
      <c r="AB92" s="48">
        <v>6</v>
      </c>
      <c r="AC92" s="25"/>
      <c r="AD92" s="25"/>
      <c r="AE92" s="25"/>
      <c r="AF92" s="24"/>
      <c r="AG92" s="24"/>
    </row>
    <row r="93" spans="3:33" x14ac:dyDescent="0.2">
      <c r="C93" s="25"/>
      <c r="D93" s="25"/>
      <c r="E93" s="25"/>
      <c r="F93" s="25"/>
      <c r="G93" s="25"/>
      <c r="H93" s="25"/>
      <c r="I93" s="25"/>
      <c r="J93" s="25" t="s">
        <v>334</v>
      </c>
      <c r="K93" s="25">
        <v>1400</v>
      </c>
      <c r="L93" s="25"/>
      <c r="M93" s="25"/>
      <c r="S93" s="25"/>
      <c r="T93" s="25"/>
      <c r="U93" s="25"/>
      <c r="V93" s="25"/>
      <c r="W93" s="25"/>
      <c r="X93" s="215" t="s">
        <v>60</v>
      </c>
      <c r="Y93" s="49" t="s">
        <v>61</v>
      </c>
      <c r="Z93" s="50">
        <v>7</v>
      </c>
      <c r="AA93" s="50" t="s">
        <v>59</v>
      </c>
      <c r="AB93" s="51">
        <v>11</v>
      </c>
      <c r="AC93" s="57"/>
      <c r="AD93" s="25"/>
      <c r="AE93" s="25"/>
      <c r="AF93" s="25"/>
      <c r="AG93" s="25"/>
    </row>
    <row r="94" spans="3:33" x14ac:dyDescent="0.2"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S94" s="25"/>
      <c r="T94" s="25"/>
      <c r="U94" s="25"/>
      <c r="V94" s="25"/>
      <c r="W94" s="25"/>
      <c r="X94" s="216"/>
      <c r="Y94" s="43" t="s">
        <v>65</v>
      </c>
      <c r="Z94" s="44">
        <v>4</v>
      </c>
      <c r="AA94" s="44" t="s">
        <v>63</v>
      </c>
      <c r="AB94" s="45">
        <v>5</v>
      </c>
      <c r="AC94" s="57"/>
      <c r="AD94" s="25"/>
      <c r="AE94" s="25"/>
      <c r="AF94" s="25"/>
      <c r="AG94" s="25"/>
    </row>
    <row r="95" spans="3:33" x14ac:dyDescent="0.2">
      <c r="C95" s="25">
        <v>9</v>
      </c>
      <c r="D95" s="25">
        <v>8</v>
      </c>
      <c r="E95" s="25" t="s">
        <v>329</v>
      </c>
      <c r="F95" s="24">
        <v>3720</v>
      </c>
      <c r="G95" s="25"/>
      <c r="H95" s="25"/>
      <c r="I95" s="25"/>
      <c r="J95" s="25" t="s">
        <v>330</v>
      </c>
      <c r="K95" s="25">
        <v>0</v>
      </c>
      <c r="L95" s="25"/>
      <c r="M95" s="25"/>
      <c r="S95" s="25"/>
      <c r="T95" s="25"/>
      <c r="U95" s="25"/>
      <c r="V95" s="25"/>
      <c r="W95" s="25"/>
      <c r="X95" s="216"/>
      <c r="Y95" s="43" t="s">
        <v>67</v>
      </c>
      <c r="Z95" s="44">
        <v>4</v>
      </c>
      <c r="AA95" s="44" t="s">
        <v>62</v>
      </c>
      <c r="AB95" s="45">
        <v>5</v>
      </c>
      <c r="AC95" s="57"/>
      <c r="AD95" s="25"/>
      <c r="AE95" s="25"/>
      <c r="AF95" s="25"/>
      <c r="AG95" s="25"/>
    </row>
    <row r="96" spans="3:33" x14ac:dyDescent="0.2">
      <c r="C96" s="25"/>
      <c r="D96" s="25"/>
      <c r="E96" s="25"/>
      <c r="F96" s="25"/>
      <c r="G96" s="25"/>
      <c r="H96" s="25"/>
      <c r="I96" s="25"/>
      <c r="J96" s="25" t="s">
        <v>331</v>
      </c>
      <c r="K96" s="25">
        <v>925</v>
      </c>
      <c r="L96" s="25"/>
      <c r="M96" s="25"/>
      <c r="S96" s="25"/>
      <c r="T96" s="25"/>
      <c r="U96" s="25"/>
      <c r="V96" s="25"/>
      <c r="W96" s="25"/>
      <c r="X96" s="217"/>
      <c r="Y96" s="46" t="s">
        <v>66</v>
      </c>
      <c r="Z96" s="47">
        <v>7</v>
      </c>
      <c r="AA96" s="47" t="s">
        <v>64</v>
      </c>
      <c r="AB96" s="48">
        <v>4</v>
      </c>
      <c r="AC96" s="25"/>
      <c r="AD96" s="25"/>
      <c r="AE96" s="25"/>
      <c r="AF96" s="25"/>
      <c r="AG96" s="4"/>
    </row>
    <row r="97" spans="3:33" x14ac:dyDescent="0.2">
      <c r="C97" s="25"/>
      <c r="D97" s="25"/>
      <c r="E97" s="25"/>
      <c r="F97" s="25"/>
      <c r="G97" s="25"/>
      <c r="H97" s="25"/>
      <c r="I97" s="25"/>
      <c r="J97" s="25" t="s">
        <v>332</v>
      </c>
      <c r="K97" s="25">
        <v>1400</v>
      </c>
      <c r="L97" s="25"/>
      <c r="M97" s="25"/>
      <c r="S97" s="25"/>
      <c r="T97" s="25"/>
      <c r="U97" s="25"/>
      <c r="V97" s="25"/>
      <c r="W97" s="25"/>
      <c r="X97" s="215" t="s">
        <v>63</v>
      </c>
      <c r="Y97" s="49" t="s">
        <v>59</v>
      </c>
      <c r="Z97" s="50">
        <v>9</v>
      </c>
      <c r="AA97" s="50" t="s">
        <v>61</v>
      </c>
      <c r="AB97" s="51">
        <v>11</v>
      </c>
      <c r="AC97" s="25"/>
      <c r="AD97" s="25"/>
      <c r="AE97" s="25"/>
      <c r="AF97" s="25"/>
      <c r="AG97" s="25"/>
    </row>
    <row r="98" spans="3:33" x14ac:dyDescent="0.2">
      <c r="C98" s="25"/>
      <c r="D98" s="25"/>
      <c r="E98" s="25"/>
      <c r="F98" s="25"/>
      <c r="G98" s="25"/>
      <c r="H98" s="25"/>
      <c r="I98" s="25"/>
      <c r="J98" s="25" t="s">
        <v>333</v>
      </c>
      <c r="K98" s="25">
        <v>1400</v>
      </c>
      <c r="L98" s="25"/>
      <c r="M98" s="25"/>
      <c r="S98" s="25"/>
      <c r="T98" s="25"/>
      <c r="U98" s="25"/>
      <c r="V98" s="25"/>
      <c r="W98" s="25"/>
      <c r="X98" s="216"/>
      <c r="Y98" s="43" t="s">
        <v>60</v>
      </c>
      <c r="Z98" s="44">
        <v>5</v>
      </c>
      <c r="AA98" s="44" t="s">
        <v>65</v>
      </c>
      <c r="AB98" s="45">
        <v>10</v>
      </c>
      <c r="AC98" s="25"/>
      <c r="AD98" s="25"/>
      <c r="AE98" s="25"/>
      <c r="AF98" s="24"/>
      <c r="AG98" s="24"/>
    </row>
    <row r="99" spans="3:33" x14ac:dyDescent="0.2">
      <c r="C99" s="25"/>
      <c r="D99" s="25"/>
      <c r="E99" s="25"/>
      <c r="F99" s="25"/>
      <c r="G99" s="25"/>
      <c r="H99" s="25"/>
      <c r="I99" s="25"/>
      <c r="J99" s="25" t="s">
        <v>334</v>
      </c>
      <c r="K99" s="25">
        <v>1400</v>
      </c>
      <c r="L99" s="25"/>
      <c r="M99" s="25"/>
      <c r="S99" s="25"/>
      <c r="T99" s="25"/>
      <c r="U99" s="25"/>
      <c r="V99" s="25"/>
      <c r="W99" s="25"/>
      <c r="X99" s="216"/>
      <c r="Y99" s="43" t="s">
        <v>62</v>
      </c>
      <c r="Z99" s="44">
        <v>6</v>
      </c>
      <c r="AA99" s="44" t="s">
        <v>64</v>
      </c>
      <c r="AB99" s="45">
        <v>12</v>
      </c>
      <c r="AC99" s="57"/>
      <c r="AD99" s="25"/>
      <c r="AE99" s="25"/>
      <c r="AF99" s="25"/>
      <c r="AG99" s="25"/>
    </row>
    <row r="100" spans="3:33" x14ac:dyDescent="0.2"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S100" s="25"/>
      <c r="T100" s="25"/>
      <c r="U100" s="25"/>
      <c r="V100" s="25"/>
      <c r="W100" s="25"/>
      <c r="X100" s="217"/>
      <c r="Y100" s="46" t="s">
        <v>66</v>
      </c>
      <c r="Z100" s="47">
        <v>7</v>
      </c>
      <c r="AA100" s="47" t="s">
        <v>67</v>
      </c>
      <c r="AB100" s="48">
        <v>5</v>
      </c>
      <c r="AC100" s="57"/>
      <c r="AD100" s="25"/>
      <c r="AE100" s="25"/>
      <c r="AF100" s="25"/>
      <c r="AG100" s="25"/>
    </row>
    <row r="101" spans="3:33" x14ac:dyDescent="0.2">
      <c r="C101" s="25"/>
      <c r="D101" s="25"/>
      <c r="E101" s="25" t="s">
        <v>329</v>
      </c>
      <c r="F101" s="25">
        <v>3720</v>
      </c>
      <c r="G101" s="25"/>
      <c r="H101" s="25"/>
      <c r="I101" s="25"/>
      <c r="J101" s="25" t="s">
        <v>330</v>
      </c>
      <c r="K101" s="24">
        <v>0</v>
      </c>
      <c r="L101" s="25"/>
      <c r="M101" s="25"/>
      <c r="S101" s="25"/>
      <c r="T101" s="25"/>
      <c r="U101" s="25"/>
      <c r="V101" s="25"/>
      <c r="W101" s="25"/>
      <c r="X101" s="215" t="s">
        <v>65</v>
      </c>
      <c r="Y101" s="49" t="s">
        <v>59</v>
      </c>
      <c r="Z101" s="50">
        <v>3</v>
      </c>
      <c r="AA101" s="50" t="s">
        <v>60</v>
      </c>
      <c r="AB101" s="51">
        <v>4</v>
      </c>
      <c r="AC101" s="57"/>
      <c r="AD101" s="25"/>
      <c r="AE101" s="25"/>
      <c r="AF101" s="25"/>
      <c r="AG101" s="25"/>
    </row>
    <row r="102" spans="3:33" x14ac:dyDescent="0.2">
      <c r="C102" s="25"/>
      <c r="D102" s="25"/>
      <c r="E102" s="25"/>
      <c r="F102" s="25"/>
      <c r="G102" s="25"/>
      <c r="H102" s="25"/>
      <c r="I102" s="25"/>
      <c r="J102" s="25" t="s">
        <v>331</v>
      </c>
      <c r="K102" s="24">
        <v>450</v>
      </c>
      <c r="L102" s="25"/>
      <c r="M102" s="25"/>
      <c r="S102" s="25"/>
      <c r="T102" s="25"/>
      <c r="U102" s="25"/>
      <c r="V102" s="25"/>
      <c r="W102" s="25"/>
      <c r="X102" s="216"/>
      <c r="Y102" s="43" t="s">
        <v>61</v>
      </c>
      <c r="Z102" s="44">
        <v>4</v>
      </c>
      <c r="AA102" s="44" t="s">
        <v>62</v>
      </c>
      <c r="AB102" s="45">
        <v>5</v>
      </c>
      <c r="AC102" s="4"/>
      <c r="AD102" s="4"/>
      <c r="AE102" s="25"/>
      <c r="AF102" s="25"/>
    </row>
    <row r="103" spans="3:33" x14ac:dyDescent="0.2">
      <c r="C103" s="25"/>
      <c r="D103" s="25"/>
      <c r="E103" s="25"/>
      <c r="F103" s="25"/>
      <c r="G103" s="25"/>
      <c r="H103" s="25"/>
      <c r="I103" s="25"/>
      <c r="J103" s="25" t="s">
        <v>332</v>
      </c>
      <c r="K103" s="24">
        <v>1400</v>
      </c>
      <c r="L103" s="25"/>
      <c r="M103" s="25"/>
      <c r="S103" s="25"/>
      <c r="T103" s="25"/>
      <c r="U103" s="25"/>
      <c r="V103" s="25"/>
      <c r="W103" s="25"/>
      <c r="X103" s="216"/>
      <c r="Y103" s="43" t="s">
        <v>63</v>
      </c>
      <c r="Z103" s="44">
        <v>10</v>
      </c>
      <c r="AA103" s="44" t="s">
        <v>67</v>
      </c>
      <c r="AB103" s="45">
        <v>8</v>
      </c>
      <c r="AC103" s="4"/>
      <c r="AD103" s="4"/>
      <c r="AE103" s="25"/>
      <c r="AF103" s="25"/>
      <c r="AG103" s="25"/>
    </row>
    <row r="104" spans="3:33" x14ac:dyDescent="0.2">
      <c r="C104" s="25"/>
      <c r="D104" s="25"/>
      <c r="E104" s="25"/>
      <c r="F104" s="25"/>
      <c r="G104" s="25"/>
      <c r="H104" s="25"/>
      <c r="I104" s="25"/>
      <c r="J104" s="25" t="s">
        <v>333</v>
      </c>
      <c r="K104" s="24">
        <v>1400</v>
      </c>
      <c r="L104" s="25"/>
      <c r="M104" s="25"/>
      <c r="S104" s="25"/>
      <c r="T104" s="25"/>
      <c r="U104" s="25"/>
      <c r="V104" s="25"/>
      <c r="W104" s="25"/>
      <c r="X104" s="217"/>
      <c r="Y104" s="46" t="s">
        <v>64</v>
      </c>
      <c r="Z104" s="47">
        <v>5</v>
      </c>
      <c r="AA104" s="47" t="s">
        <v>66</v>
      </c>
      <c r="AB104" s="48">
        <v>3</v>
      </c>
      <c r="AC104" s="4"/>
      <c r="AD104" s="4"/>
      <c r="AE104" s="25"/>
      <c r="AF104" s="24"/>
      <c r="AG104" s="24"/>
    </row>
    <row r="105" spans="3:33" x14ac:dyDescent="0.2">
      <c r="C105" s="25"/>
      <c r="D105" s="25"/>
      <c r="E105" s="25"/>
      <c r="F105" s="25"/>
      <c r="G105" s="25"/>
      <c r="H105" s="25"/>
      <c r="I105" s="25"/>
      <c r="J105" s="25" t="s">
        <v>334</v>
      </c>
      <c r="K105" s="24">
        <v>1400</v>
      </c>
      <c r="L105" s="25"/>
      <c r="M105" s="25"/>
      <c r="S105" s="25"/>
      <c r="T105" s="25"/>
      <c r="U105" s="25"/>
      <c r="V105" s="25"/>
      <c r="W105" s="25"/>
      <c r="X105" s="215" t="s">
        <v>62</v>
      </c>
      <c r="Y105" s="49" t="s">
        <v>61</v>
      </c>
      <c r="Z105" s="50">
        <v>5</v>
      </c>
      <c r="AA105" s="50" t="s">
        <v>59</v>
      </c>
      <c r="AB105" s="51">
        <v>12</v>
      </c>
      <c r="AC105" s="4"/>
      <c r="AD105" s="4"/>
      <c r="AE105" s="25"/>
      <c r="AF105" s="25"/>
      <c r="AG105" s="25"/>
    </row>
    <row r="106" spans="3:33" x14ac:dyDescent="0.2"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S106" s="25"/>
      <c r="T106" s="25"/>
      <c r="U106" s="25"/>
      <c r="V106" s="25"/>
      <c r="W106" s="25"/>
      <c r="X106" s="216"/>
      <c r="Y106" s="43" t="s">
        <v>60</v>
      </c>
      <c r="Z106" s="44">
        <v>5</v>
      </c>
      <c r="AA106" s="44" t="s">
        <v>63</v>
      </c>
      <c r="AB106" s="45">
        <v>6</v>
      </c>
      <c r="AC106" s="57"/>
      <c r="AD106" s="25"/>
      <c r="AE106" s="25"/>
      <c r="AF106" s="25"/>
      <c r="AG106" s="25"/>
    </row>
    <row r="107" spans="3:33" x14ac:dyDescent="0.2">
      <c r="C107" s="25">
        <v>10</v>
      </c>
      <c r="D107" s="25">
        <v>9</v>
      </c>
      <c r="E107" s="25" t="s">
        <v>329</v>
      </c>
      <c r="F107" s="24">
        <v>3400</v>
      </c>
      <c r="G107" s="25"/>
      <c r="H107" s="25"/>
      <c r="I107" s="25"/>
      <c r="J107" s="25" t="s">
        <v>330</v>
      </c>
      <c r="K107" s="25">
        <v>0</v>
      </c>
      <c r="L107" s="25"/>
      <c r="M107" s="25"/>
      <c r="S107" s="25"/>
      <c r="T107" s="25"/>
      <c r="U107" s="25"/>
      <c r="V107" s="25"/>
      <c r="W107" s="25"/>
      <c r="X107" s="216"/>
      <c r="Y107" s="43" t="s">
        <v>65</v>
      </c>
      <c r="Z107" s="44">
        <v>5</v>
      </c>
      <c r="AA107" s="44" t="s">
        <v>64</v>
      </c>
      <c r="AB107" s="45">
        <v>6</v>
      </c>
      <c r="AC107" s="57"/>
      <c r="AD107" s="25"/>
      <c r="AE107" s="25"/>
      <c r="AF107" s="25"/>
      <c r="AG107" s="25"/>
    </row>
    <row r="108" spans="3:33" x14ac:dyDescent="0.2">
      <c r="C108" s="25"/>
      <c r="D108" s="25"/>
      <c r="E108" s="25"/>
      <c r="F108" s="25"/>
      <c r="G108" s="25"/>
      <c r="H108" s="25"/>
      <c r="I108" s="25"/>
      <c r="J108" s="25" t="s">
        <v>331</v>
      </c>
      <c r="K108" s="25">
        <v>450</v>
      </c>
      <c r="L108" s="25"/>
      <c r="M108" s="25"/>
      <c r="S108" s="25"/>
      <c r="T108" s="25"/>
      <c r="U108" s="25"/>
      <c r="V108" s="25"/>
      <c r="W108" s="25"/>
      <c r="X108" s="217"/>
      <c r="Y108" s="46" t="s">
        <v>67</v>
      </c>
      <c r="Z108" s="47">
        <v>4</v>
      </c>
      <c r="AA108" s="47" t="s">
        <v>66</v>
      </c>
      <c r="AB108" s="48">
        <v>6</v>
      </c>
      <c r="AC108" s="25"/>
      <c r="AD108" s="25"/>
      <c r="AE108" s="25"/>
      <c r="AF108" s="25"/>
      <c r="AG108" s="4"/>
    </row>
    <row r="109" spans="3:33" x14ac:dyDescent="0.2">
      <c r="C109" s="25"/>
      <c r="D109" s="25"/>
      <c r="E109" s="25"/>
      <c r="F109" s="25"/>
      <c r="G109" s="25"/>
      <c r="H109" s="25"/>
      <c r="I109" s="25"/>
      <c r="J109" s="25" t="s">
        <v>332</v>
      </c>
      <c r="K109" s="25">
        <v>1400</v>
      </c>
      <c r="L109" s="25"/>
      <c r="M109" s="25"/>
      <c r="S109" s="25"/>
      <c r="T109" s="25"/>
      <c r="U109" s="25"/>
      <c r="V109" s="25"/>
      <c r="W109" s="25"/>
      <c r="X109" s="215" t="s">
        <v>64</v>
      </c>
      <c r="Y109" s="49" t="s">
        <v>60</v>
      </c>
      <c r="Z109" s="50">
        <v>4</v>
      </c>
      <c r="AA109" s="50" t="s">
        <v>59</v>
      </c>
      <c r="AB109" s="51">
        <v>20</v>
      </c>
      <c r="AC109" s="25"/>
      <c r="AD109" s="25"/>
      <c r="AE109" s="25"/>
      <c r="AF109" s="25"/>
      <c r="AG109" s="25"/>
    </row>
    <row r="110" spans="3:33" x14ac:dyDescent="0.2">
      <c r="C110" s="25"/>
      <c r="D110" s="25"/>
      <c r="E110" s="25"/>
      <c r="F110" s="25"/>
      <c r="G110" s="25"/>
      <c r="H110" s="25"/>
      <c r="I110" s="25"/>
      <c r="J110" s="25" t="s">
        <v>333</v>
      </c>
      <c r="K110" s="25">
        <v>1400</v>
      </c>
      <c r="L110" s="25"/>
      <c r="M110" s="25"/>
      <c r="S110" s="25"/>
      <c r="T110" s="25"/>
      <c r="U110" s="25"/>
      <c r="V110" s="25"/>
      <c r="W110" s="25"/>
      <c r="X110" s="216"/>
      <c r="Y110" s="43" t="s">
        <v>63</v>
      </c>
      <c r="Z110" s="44">
        <v>12</v>
      </c>
      <c r="AA110" s="44" t="s">
        <v>61</v>
      </c>
      <c r="AB110" s="45">
        <v>8</v>
      </c>
      <c r="AC110" s="25"/>
      <c r="AD110" s="25"/>
      <c r="AE110" s="25"/>
      <c r="AF110" s="24"/>
      <c r="AG110" s="24"/>
    </row>
    <row r="111" spans="3:33" x14ac:dyDescent="0.2">
      <c r="C111" s="25"/>
      <c r="D111" s="25"/>
      <c r="E111" s="25"/>
      <c r="F111" s="25"/>
      <c r="G111" s="25"/>
      <c r="H111" s="25"/>
      <c r="I111" s="25"/>
      <c r="J111" s="25" t="s">
        <v>334</v>
      </c>
      <c r="K111" s="25">
        <v>1400</v>
      </c>
      <c r="L111" s="25"/>
      <c r="M111" s="25"/>
      <c r="S111" s="25"/>
      <c r="T111" s="25"/>
      <c r="U111" s="25"/>
      <c r="V111" s="25"/>
      <c r="W111" s="25"/>
      <c r="X111" s="216"/>
      <c r="Y111" s="43" t="s">
        <v>62</v>
      </c>
      <c r="Z111" s="44">
        <v>6</v>
      </c>
      <c r="AA111" s="44" t="s">
        <v>65</v>
      </c>
      <c r="AB111" s="45">
        <v>5</v>
      </c>
      <c r="AC111" s="57"/>
      <c r="AD111" s="25"/>
      <c r="AE111" s="25"/>
      <c r="AF111" s="25"/>
      <c r="AG111" s="25"/>
    </row>
    <row r="112" spans="3:33" x14ac:dyDescent="0.2"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S112" s="25"/>
      <c r="T112" s="25"/>
      <c r="U112" s="25"/>
      <c r="V112" s="25"/>
      <c r="W112" s="25"/>
      <c r="X112" s="217"/>
      <c r="Y112" s="46" t="s">
        <v>66</v>
      </c>
      <c r="Z112" s="47">
        <v>7</v>
      </c>
      <c r="AA112" s="47" t="s">
        <v>67</v>
      </c>
      <c r="AB112" s="48">
        <v>10</v>
      </c>
      <c r="AC112" s="57"/>
      <c r="AD112" s="25"/>
      <c r="AE112" s="25"/>
      <c r="AF112" s="25"/>
      <c r="AG112" s="25"/>
    </row>
    <row r="113" spans="3:33" x14ac:dyDescent="0.2">
      <c r="C113" s="25">
        <v>11</v>
      </c>
      <c r="D113" s="25">
        <v>10</v>
      </c>
      <c r="E113" s="25" t="s">
        <v>329</v>
      </c>
      <c r="F113" s="24">
        <v>3080</v>
      </c>
      <c r="G113" s="25"/>
      <c r="H113" s="25"/>
      <c r="I113" s="25"/>
      <c r="J113" s="25" t="s">
        <v>330</v>
      </c>
      <c r="K113" s="25">
        <v>0</v>
      </c>
      <c r="L113" s="25"/>
      <c r="M113" s="25"/>
      <c r="S113" s="25"/>
      <c r="T113" s="25"/>
      <c r="U113" s="25"/>
      <c r="V113" s="25"/>
      <c r="W113" s="25"/>
      <c r="X113" s="215" t="s">
        <v>67</v>
      </c>
      <c r="Y113" s="49" t="s">
        <v>59</v>
      </c>
      <c r="Z113" s="50">
        <v>4</v>
      </c>
      <c r="AA113" s="50" t="s">
        <v>61</v>
      </c>
      <c r="AB113" s="51">
        <v>3</v>
      </c>
      <c r="AC113" s="25"/>
      <c r="AD113" s="25"/>
      <c r="AE113" s="25"/>
      <c r="AF113" s="25"/>
      <c r="AG113" s="25"/>
    </row>
    <row r="114" spans="3:33" x14ac:dyDescent="0.2">
      <c r="C114" s="25"/>
      <c r="D114" s="25"/>
      <c r="E114" s="25"/>
      <c r="F114" s="25"/>
      <c r="G114" s="25"/>
      <c r="H114" s="25"/>
      <c r="I114" s="25"/>
      <c r="J114" s="25" t="s">
        <v>331</v>
      </c>
      <c r="K114" s="25">
        <v>450</v>
      </c>
      <c r="L114" s="25"/>
      <c r="M114" s="25"/>
      <c r="S114" s="25"/>
      <c r="T114" s="25"/>
      <c r="U114" s="25"/>
      <c r="V114" s="25"/>
      <c r="W114" s="25"/>
      <c r="X114" s="216"/>
      <c r="Y114" s="43" t="s">
        <v>63</v>
      </c>
      <c r="Z114" s="44">
        <v>5</v>
      </c>
      <c r="AA114" s="44" t="s">
        <v>60</v>
      </c>
      <c r="AB114" s="45">
        <v>4</v>
      </c>
      <c r="AC114" s="25"/>
      <c r="AD114" s="25"/>
      <c r="AE114" s="25"/>
      <c r="AF114" s="25"/>
      <c r="AG114" s="4"/>
    </row>
    <row r="115" spans="3:33" x14ac:dyDescent="0.2">
      <c r="C115" s="25"/>
      <c r="D115" s="25"/>
      <c r="E115" s="25"/>
      <c r="F115" s="25"/>
      <c r="G115" s="25"/>
      <c r="H115" s="25"/>
      <c r="I115" s="25"/>
      <c r="J115" s="25" t="s">
        <v>332</v>
      </c>
      <c r="K115" s="25">
        <v>1400</v>
      </c>
      <c r="L115" s="25"/>
      <c r="M115" s="25"/>
      <c r="S115" s="25"/>
      <c r="T115" s="25"/>
      <c r="U115" s="25"/>
      <c r="V115" s="25"/>
      <c r="W115" s="25"/>
      <c r="X115" s="216"/>
      <c r="Y115" s="43" t="s">
        <v>65</v>
      </c>
      <c r="Z115" s="44">
        <v>8</v>
      </c>
      <c r="AA115" s="44" t="s">
        <v>62</v>
      </c>
      <c r="AB115" s="45">
        <v>4</v>
      </c>
      <c r="AC115" s="25"/>
      <c r="AD115" s="25"/>
      <c r="AE115" s="25"/>
      <c r="AF115" s="25"/>
      <c r="AG115" s="25"/>
    </row>
    <row r="116" spans="3:33" x14ac:dyDescent="0.2">
      <c r="C116" s="25"/>
      <c r="D116" s="25"/>
      <c r="E116" s="25"/>
      <c r="F116" s="25"/>
      <c r="G116" s="25"/>
      <c r="H116" s="25"/>
      <c r="I116" s="25"/>
      <c r="J116" s="25" t="s">
        <v>333</v>
      </c>
      <c r="K116" s="25">
        <v>1400</v>
      </c>
      <c r="L116" s="25"/>
      <c r="M116" s="25"/>
      <c r="S116" s="25"/>
      <c r="T116" s="25"/>
      <c r="U116" s="25"/>
      <c r="V116" s="25"/>
      <c r="W116" s="25"/>
      <c r="X116" s="217"/>
      <c r="Y116" s="43" t="s">
        <v>64</v>
      </c>
      <c r="Z116" s="44">
        <v>10</v>
      </c>
      <c r="AA116" s="44" t="s">
        <v>66</v>
      </c>
      <c r="AB116" s="45">
        <v>5</v>
      </c>
      <c r="AC116" s="25"/>
      <c r="AD116" s="25"/>
      <c r="AE116" s="25"/>
      <c r="AF116" s="24"/>
      <c r="AG116" s="24"/>
    </row>
    <row r="117" spans="3:33" x14ac:dyDescent="0.2">
      <c r="C117" s="25"/>
      <c r="D117" s="25"/>
      <c r="E117" s="25"/>
      <c r="F117" s="25"/>
      <c r="G117" s="25"/>
      <c r="H117" s="25"/>
      <c r="I117" s="25"/>
      <c r="J117" s="25" t="s">
        <v>334</v>
      </c>
      <c r="K117" s="25">
        <v>1400</v>
      </c>
      <c r="L117" s="25"/>
      <c r="M117" s="25"/>
      <c r="S117" s="25"/>
      <c r="T117" s="25"/>
      <c r="U117" s="25"/>
      <c r="V117" s="25"/>
      <c r="W117" s="25"/>
      <c r="X117" s="218" t="s">
        <v>66</v>
      </c>
      <c r="Y117" s="49" t="s">
        <v>61</v>
      </c>
      <c r="Z117" s="52">
        <v>6</v>
      </c>
      <c r="AA117" s="50" t="s">
        <v>59</v>
      </c>
      <c r="AB117" s="53">
        <v>7</v>
      </c>
      <c r="AC117" s="57"/>
      <c r="AD117" s="25"/>
      <c r="AE117" s="25"/>
      <c r="AF117" s="25"/>
      <c r="AG117" s="25"/>
    </row>
    <row r="118" spans="3:33" x14ac:dyDescent="0.2"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S118" s="25"/>
      <c r="T118" s="25"/>
      <c r="U118" s="25"/>
      <c r="V118" s="25"/>
      <c r="W118" s="25"/>
      <c r="X118" s="219"/>
      <c r="Y118" s="43" t="s">
        <v>65</v>
      </c>
      <c r="Z118" s="44">
        <v>3</v>
      </c>
      <c r="AA118" s="44" t="s">
        <v>60</v>
      </c>
      <c r="AB118" s="54">
        <v>7</v>
      </c>
      <c r="AC118" s="57"/>
      <c r="AD118" s="25"/>
      <c r="AE118" s="25"/>
      <c r="AF118" s="25"/>
      <c r="AG118" s="25"/>
    </row>
    <row r="119" spans="3:33" x14ac:dyDescent="0.2">
      <c r="C119" s="25"/>
      <c r="D119" s="25"/>
      <c r="E119" s="25" t="s">
        <v>329</v>
      </c>
      <c r="F119" s="25">
        <v>3080</v>
      </c>
      <c r="G119" s="25"/>
      <c r="H119" s="25"/>
      <c r="I119" s="25"/>
      <c r="J119" s="25" t="s">
        <v>330</v>
      </c>
      <c r="K119" s="24">
        <v>0</v>
      </c>
      <c r="L119" s="25"/>
      <c r="M119" s="25"/>
      <c r="S119" s="25"/>
      <c r="T119" s="25"/>
      <c r="U119" s="25"/>
      <c r="V119" s="25"/>
      <c r="W119" s="25"/>
      <c r="X119" s="219"/>
      <c r="Y119" s="43" t="s">
        <v>62</v>
      </c>
      <c r="Z119" s="44">
        <v>6</v>
      </c>
      <c r="AA119" s="44" t="s">
        <v>63</v>
      </c>
      <c r="AB119" s="54">
        <v>7</v>
      </c>
      <c r="AC119" s="57"/>
      <c r="AD119" s="25"/>
      <c r="AE119" s="25"/>
      <c r="AF119" s="25"/>
      <c r="AG119" s="25"/>
    </row>
    <row r="120" spans="3:33" x14ac:dyDescent="0.2">
      <c r="C120" s="25"/>
      <c r="D120" s="25"/>
      <c r="E120" s="25"/>
      <c r="F120" s="25"/>
      <c r="G120" s="25"/>
      <c r="H120" s="25"/>
      <c r="I120" s="25"/>
      <c r="J120" s="25" t="s">
        <v>331</v>
      </c>
      <c r="K120" s="24">
        <v>0</v>
      </c>
      <c r="L120" s="25"/>
      <c r="M120" s="25"/>
      <c r="S120" s="25"/>
      <c r="T120" s="25"/>
      <c r="U120" s="25"/>
      <c r="V120" s="25"/>
      <c r="W120" s="25"/>
      <c r="X120" s="220"/>
      <c r="Y120" s="46" t="s">
        <v>67</v>
      </c>
      <c r="Z120" s="55">
        <v>5</v>
      </c>
      <c r="AA120" s="47" t="s">
        <v>64</v>
      </c>
      <c r="AB120" s="56">
        <v>7</v>
      </c>
      <c r="AC120" s="25"/>
      <c r="AD120" s="25"/>
      <c r="AE120" s="25"/>
      <c r="AF120" s="25"/>
      <c r="AG120" s="4"/>
    </row>
    <row r="121" spans="3:33" x14ac:dyDescent="0.2">
      <c r="C121" s="25"/>
      <c r="D121" s="25"/>
      <c r="E121" s="25"/>
      <c r="F121" s="25"/>
      <c r="G121" s="25"/>
      <c r="H121" s="25"/>
      <c r="I121" s="25"/>
      <c r="J121" s="25" t="s">
        <v>332</v>
      </c>
      <c r="K121" s="24">
        <v>1400</v>
      </c>
      <c r="L121" s="25"/>
      <c r="M121" s="25"/>
      <c r="S121" s="25"/>
      <c r="T121" s="25"/>
      <c r="U121" s="25"/>
      <c r="V121" s="25"/>
      <c r="W121" s="25"/>
      <c r="Y121" s="25"/>
      <c r="Z121" s="25"/>
      <c r="AA121" s="25"/>
      <c r="AB121" s="25"/>
      <c r="AC121" s="25"/>
      <c r="AD121" s="25"/>
      <c r="AE121" s="25"/>
      <c r="AF121" s="25"/>
      <c r="AG121" s="25"/>
    </row>
    <row r="122" spans="3:33" x14ac:dyDescent="0.2">
      <c r="C122" s="25"/>
      <c r="D122" s="25"/>
      <c r="E122" s="25"/>
      <c r="F122" s="25"/>
      <c r="G122" s="25"/>
      <c r="H122" s="25"/>
      <c r="I122" s="25"/>
      <c r="J122" s="25" t="s">
        <v>333</v>
      </c>
      <c r="K122" s="24">
        <v>1400</v>
      </c>
      <c r="L122" s="25"/>
      <c r="M122" s="25"/>
      <c r="S122" s="25"/>
      <c r="T122" s="25"/>
      <c r="U122" s="25"/>
      <c r="V122" s="25"/>
      <c r="W122" s="25"/>
      <c r="Y122" s="25"/>
      <c r="Z122" s="25"/>
      <c r="AA122" s="25"/>
      <c r="AB122" s="25"/>
      <c r="AC122" s="25"/>
      <c r="AD122" s="25"/>
      <c r="AE122" s="25"/>
      <c r="AF122" s="24"/>
      <c r="AG122" s="24"/>
    </row>
    <row r="123" spans="3:33" x14ac:dyDescent="0.2">
      <c r="C123" s="25"/>
      <c r="D123" s="25"/>
      <c r="E123" s="25"/>
      <c r="F123" s="25"/>
      <c r="G123" s="25"/>
      <c r="H123" s="25"/>
      <c r="I123" s="25"/>
      <c r="J123" s="25" t="s">
        <v>334</v>
      </c>
      <c r="K123" s="24">
        <v>1400</v>
      </c>
      <c r="L123" s="25"/>
      <c r="M123" s="25"/>
      <c r="S123" s="25"/>
      <c r="T123" s="25"/>
      <c r="U123" s="25"/>
      <c r="V123" s="25"/>
      <c r="W123" s="25"/>
      <c r="Y123" s="25"/>
      <c r="Z123" s="25"/>
      <c r="AA123" s="25"/>
      <c r="AB123" s="25"/>
      <c r="AC123" s="57"/>
      <c r="AD123" s="25"/>
      <c r="AE123" s="25"/>
      <c r="AF123" s="25"/>
      <c r="AG123" s="25"/>
    </row>
    <row r="124" spans="3:33" x14ac:dyDescent="0.2"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S124" s="25"/>
      <c r="T124" s="25"/>
      <c r="U124" s="25"/>
      <c r="V124" s="25"/>
      <c r="W124" s="25"/>
      <c r="Y124" s="25"/>
      <c r="Z124" s="25"/>
      <c r="AA124" s="25"/>
      <c r="AB124" s="25"/>
      <c r="AC124" s="57"/>
      <c r="AD124" s="25"/>
      <c r="AE124" s="25"/>
      <c r="AF124" s="25"/>
      <c r="AG124" s="25"/>
    </row>
    <row r="125" spans="3:33" x14ac:dyDescent="0.2">
      <c r="C125" s="25">
        <v>12</v>
      </c>
      <c r="D125" s="25">
        <v>11</v>
      </c>
      <c r="E125" s="25" t="s">
        <v>329</v>
      </c>
      <c r="F125" s="24">
        <v>2840</v>
      </c>
      <c r="G125" s="25"/>
      <c r="H125" s="25"/>
      <c r="I125" s="25"/>
      <c r="J125" s="25" t="s">
        <v>330</v>
      </c>
      <c r="K125" s="25">
        <v>0</v>
      </c>
      <c r="L125" s="25"/>
      <c r="M125" s="25"/>
      <c r="S125" s="25"/>
      <c r="T125" s="25"/>
      <c r="U125" s="25"/>
      <c r="V125" s="25"/>
      <c r="W125" s="25"/>
      <c r="Y125" s="25"/>
      <c r="Z125" s="25"/>
      <c r="AA125" s="25"/>
      <c r="AB125" s="25"/>
      <c r="AC125" s="57"/>
      <c r="AD125" s="25"/>
      <c r="AE125" s="25"/>
      <c r="AF125" s="25"/>
      <c r="AG125" s="25"/>
    </row>
    <row r="126" spans="3:33" x14ac:dyDescent="0.2">
      <c r="C126" s="25"/>
      <c r="D126" s="25"/>
      <c r="E126" s="25"/>
      <c r="F126" s="25"/>
      <c r="G126" s="25"/>
      <c r="H126" s="25"/>
      <c r="I126" s="25"/>
      <c r="J126" s="25" t="s">
        <v>331</v>
      </c>
      <c r="K126" s="25">
        <v>0</v>
      </c>
      <c r="L126" s="25"/>
      <c r="M126" s="25"/>
      <c r="S126" s="25"/>
      <c r="T126" s="25"/>
      <c r="U126" s="25"/>
      <c r="V126" s="25"/>
      <c r="W126" s="25"/>
      <c r="Y126" s="25"/>
      <c r="Z126" s="25"/>
      <c r="AA126" s="25"/>
      <c r="AB126" s="4"/>
      <c r="AC126" s="4"/>
      <c r="AD126" s="4"/>
      <c r="AE126" s="25"/>
      <c r="AF126" s="25"/>
    </row>
    <row r="127" spans="3:33" x14ac:dyDescent="0.2">
      <c r="C127" s="25"/>
      <c r="D127" s="25"/>
      <c r="E127" s="25"/>
      <c r="F127" s="25"/>
      <c r="G127" s="25"/>
      <c r="H127" s="25"/>
      <c r="I127" s="25"/>
      <c r="J127" s="25" t="s">
        <v>332</v>
      </c>
      <c r="K127" s="25">
        <v>1400</v>
      </c>
      <c r="L127" s="25"/>
      <c r="M127" s="25"/>
      <c r="S127" s="25"/>
      <c r="T127" s="25"/>
      <c r="U127" s="25"/>
      <c r="V127" s="25"/>
      <c r="W127" s="25"/>
      <c r="Y127" s="25"/>
      <c r="Z127" s="25"/>
      <c r="AA127" s="25"/>
      <c r="AB127" s="4"/>
      <c r="AC127" s="4"/>
      <c r="AD127" s="4"/>
      <c r="AE127" s="25"/>
      <c r="AF127" s="25"/>
      <c r="AG127" s="25"/>
    </row>
    <row r="128" spans="3:33" x14ac:dyDescent="0.2">
      <c r="C128" s="25"/>
      <c r="D128" s="25"/>
      <c r="E128" s="25"/>
      <c r="F128" s="25"/>
      <c r="G128" s="25"/>
      <c r="H128" s="25"/>
      <c r="I128" s="25"/>
      <c r="J128" s="25" t="s">
        <v>333</v>
      </c>
      <c r="K128" s="25">
        <v>1400</v>
      </c>
      <c r="L128" s="25"/>
      <c r="M128" s="25"/>
      <c r="S128" s="25"/>
      <c r="T128" s="25"/>
      <c r="U128" s="25"/>
      <c r="V128" s="25"/>
      <c r="W128" s="25"/>
      <c r="Y128" s="25"/>
      <c r="Z128" s="25"/>
      <c r="AA128" s="25"/>
      <c r="AB128" s="4"/>
      <c r="AC128" s="4"/>
      <c r="AD128" s="4"/>
      <c r="AE128" s="25"/>
      <c r="AF128" s="24"/>
      <c r="AG128" s="24"/>
    </row>
    <row r="129" spans="3:33" x14ac:dyDescent="0.2">
      <c r="C129" s="25"/>
      <c r="D129" s="25"/>
      <c r="E129" s="25"/>
      <c r="F129" s="25"/>
      <c r="G129" s="25"/>
      <c r="H129" s="25"/>
      <c r="I129" s="25"/>
      <c r="J129" s="25" t="s">
        <v>334</v>
      </c>
      <c r="K129" s="25">
        <v>1400</v>
      </c>
      <c r="L129" s="25"/>
      <c r="M129" s="25"/>
      <c r="S129" s="25"/>
      <c r="T129" s="25"/>
      <c r="U129" s="25"/>
      <c r="V129" s="25"/>
      <c r="W129" s="25"/>
      <c r="Y129" s="25"/>
      <c r="Z129" s="25"/>
      <c r="AA129" s="25"/>
      <c r="AB129" s="4"/>
      <c r="AC129" s="4"/>
      <c r="AD129" s="4"/>
      <c r="AE129" s="25"/>
      <c r="AF129" s="25"/>
      <c r="AG129" s="25"/>
    </row>
    <row r="130" spans="3:33" x14ac:dyDescent="0.2"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S130" s="25"/>
      <c r="T130" s="25"/>
      <c r="U130" s="25"/>
      <c r="V130" s="25"/>
      <c r="W130" s="25"/>
      <c r="Y130" s="25"/>
      <c r="Z130" s="25"/>
      <c r="AA130" s="25"/>
      <c r="AB130" s="4"/>
      <c r="AC130" s="4"/>
      <c r="AD130" s="4"/>
      <c r="AE130" s="25"/>
      <c r="AF130" s="25"/>
      <c r="AG130" s="25"/>
    </row>
    <row r="131" spans="3:33" x14ac:dyDescent="0.2">
      <c r="C131" s="25">
        <v>13</v>
      </c>
      <c r="D131" s="25">
        <v>12</v>
      </c>
      <c r="E131" s="25" t="s">
        <v>329</v>
      </c>
      <c r="F131" s="24">
        <v>2600</v>
      </c>
      <c r="G131" s="25"/>
      <c r="H131" s="25"/>
      <c r="I131" s="25"/>
      <c r="J131" s="25" t="s">
        <v>330</v>
      </c>
      <c r="K131" s="25">
        <v>0</v>
      </c>
      <c r="L131" s="25"/>
      <c r="M131" s="25"/>
      <c r="S131" s="25"/>
      <c r="T131" s="25"/>
      <c r="U131" s="25"/>
      <c r="V131" s="25"/>
      <c r="W131" s="25"/>
      <c r="Y131" s="25"/>
      <c r="Z131" s="25"/>
      <c r="AA131" s="25"/>
      <c r="AB131" s="25"/>
      <c r="AC131" s="57"/>
      <c r="AD131" s="25"/>
      <c r="AE131" s="25"/>
      <c r="AF131" s="25"/>
      <c r="AG131" s="25"/>
    </row>
    <row r="132" spans="3:33" x14ac:dyDescent="0.2">
      <c r="C132" s="25"/>
      <c r="D132" s="25"/>
      <c r="E132" s="25"/>
      <c r="F132" s="25"/>
      <c r="G132" s="25"/>
      <c r="H132" s="25"/>
      <c r="I132" s="25"/>
      <c r="J132" s="25" t="s">
        <v>331</v>
      </c>
      <c r="K132" s="25">
        <v>0</v>
      </c>
      <c r="L132" s="25"/>
      <c r="M132" s="25"/>
      <c r="S132" s="25"/>
      <c r="T132" s="25"/>
      <c r="U132" s="25"/>
      <c r="V132" s="25"/>
      <c r="W132" s="25"/>
      <c r="Y132" s="25"/>
      <c r="Z132" s="25"/>
      <c r="AA132" s="25"/>
      <c r="AB132" s="25"/>
      <c r="AC132" s="25"/>
      <c r="AD132" s="25"/>
      <c r="AE132" s="25"/>
      <c r="AF132" s="25"/>
      <c r="AG132" s="4"/>
    </row>
    <row r="133" spans="3:33" x14ac:dyDescent="0.2">
      <c r="C133" s="25"/>
      <c r="D133" s="25"/>
      <c r="E133" s="25"/>
      <c r="F133" s="25"/>
      <c r="G133" s="25"/>
      <c r="H133" s="25"/>
      <c r="I133" s="25"/>
      <c r="J133" s="25" t="s">
        <v>332</v>
      </c>
      <c r="K133" s="25">
        <v>1400</v>
      </c>
      <c r="L133" s="25"/>
      <c r="M133" s="25"/>
      <c r="S133" s="25"/>
      <c r="T133" s="25"/>
      <c r="U133" s="25"/>
      <c r="V133" s="25"/>
      <c r="W133" s="25"/>
    </row>
    <row r="134" spans="3:33" x14ac:dyDescent="0.2">
      <c r="C134" s="25"/>
      <c r="D134" s="25"/>
      <c r="E134" s="25"/>
      <c r="F134" s="25"/>
      <c r="G134" s="25"/>
      <c r="H134" s="25"/>
      <c r="I134" s="25"/>
      <c r="J134" s="25" t="s">
        <v>333</v>
      </c>
      <c r="K134" s="25">
        <v>1400</v>
      </c>
      <c r="L134" s="25"/>
      <c r="M134" s="25"/>
      <c r="S134" s="25"/>
      <c r="T134" s="25"/>
      <c r="U134" s="25"/>
      <c r="V134" s="25"/>
      <c r="W134" s="25"/>
    </row>
    <row r="135" spans="3:33" x14ac:dyDescent="0.2">
      <c r="C135" s="25"/>
      <c r="D135" s="25"/>
      <c r="E135" s="25"/>
      <c r="F135" s="25"/>
      <c r="G135" s="25"/>
      <c r="H135" s="25"/>
      <c r="I135" s="25"/>
      <c r="J135" s="25" t="s">
        <v>334</v>
      </c>
      <c r="K135" s="25">
        <v>1400</v>
      </c>
      <c r="L135" s="25"/>
      <c r="M135" s="25"/>
      <c r="S135" s="25"/>
      <c r="T135" s="25"/>
      <c r="U135" s="25"/>
      <c r="V135" s="25"/>
      <c r="W135" s="25"/>
    </row>
    <row r="136" spans="3:33" x14ac:dyDescent="0.2"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S136" s="25"/>
      <c r="T136" s="25"/>
      <c r="U136" s="25"/>
      <c r="V136" s="25"/>
      <c r="W136" s="25"/>
    </row>
    <row r="137" spans="3:33" x14ac:dyDescent="0.2">
      <c r="C137" s="25"/>
      <c r="D137" s="25"/>
      <c r="E137" s="25" t="s">
        <v>329</v>
      </c>
      <c r="F137" s="25">
        <v>2600</v>
      </c>
      <c r="G137" s="25"/>
      <c r="H137" s="25"/>
      <c r="I137" s="25"/>
      <c r="J137" s="25" t="s">
        <v>330</v>
      </c>
      <c r="K137" s="24">
        <v>0</v>
      </c>
      <c r="L137" s="25"/>
      <c r="M137" s="25"/>
      <c r="S137" s="25"/>
      <c r="T137" s="25"/>
      <c r="U137" s="25"/>
      <c r="V137" s="25"/>
      <c r="W137" s="25"/>
    </row>
    <row r="138" spans="3:33" x14ac:dyDescent="0.2">
      <c r="C138" s="25"/>
      <c r="D138" s="25"/>
      <c r="E138" s="25"/>
      <c r="F138" s="25"/>
      <c r="G138" s="25"/>
      <c r="H138" s="25"/>
      <c r="I138" s="25"/>
      <c r="J138" s="25" t="s">
        <v>331</v>
      </c>
      <c r="K138" s="24">
        <v>0</v>
      </c>
      <c r="L138" s="25"/>
      <c r="M138" s="25"/>
      <c r="S138" s="25"/>
      <c r="T138" s="25"/>
      <c r="U138" s="25"/>
      <c r="V138" s="25"/>
      <c r="W138" s="25"/>
    </row>
    <row r="139" spans="3:33" x14ac:dyDescent="0.2">
      <c r="C139" s="25"/>
      <c r="D139" s="25"/>
      <c r="E139" s="25"/>
      <c r="F139" s="25"/>
      <c r="G139" s="25"/>
      <c r="H139" s="25"/>
      <c r="I139" s="25"/>
      <c r="J139" s="25" t="s">
        <v>332</v>
      </c>
      <c r="K139" s="24">
        <v>925</v>
      </c>
      <c r="L139" s="25"/>
      <c r="M139" s="25"/>
      <c r="S139" s="25"/>
      <c r="T139" s="25"/>
      <c r="U139" s="25"/>
      <c r="V139" s="25"/>
      <c r="W139" s="25"/>
    </row>
    <row r="140" spans="3:33" x14ac:dyDescent="0.2">
      <c r="C140" s="25"/>
      <c r="D140" s="25"/>
      <c r="E140" s="25"/>
      <c r="F140" s="25"/>
      <c r="G140" s="25"/>
      <c r="H140" s="25"/>
      <c r="I140" s="25"/>
      <c r="J140" s="25" t="s">
        <v>333</v>
      </c>
      <c r="K140" s="24">
        <v>1400</v>
      </c>
      <c r="L140" s="25"/>
      <c r="M140" s="25"/>
      <c r="S140" s="25"/>
      <c r="T140" s="25"/>
      <c r="U140" s="25"/>
      <c r="V140" s="25"/>
      <c r="W140" s="25"/>
    </row>
    <row r="141" spans="3:33" x14ac:dyDescent="0.2">
      <c r="C141" s="25"/>
      <c r="D141" s="25"/>
      <c r="E141" s="25"/>
      <c r="F141" s="25"/>
      <c r="G141" s="25"/>
      <c r="H141" s="25"/>
      <c r="I141" s="25"/>
      <c r="J141" s="25" t="s">
        <v>334</v>
      </c>
      <c r="K141" s="24">
        <v>1400</v>
      </c>
      <c r="L141" s="25"/>
      <c r="M141" s="25"/>
      <c r="S141" s="25"/>
      <c r="T141" s="25"/>
      <c r="U141" s="25"/>
      <c r="V141" s="25"/>
      <c r="W141" s="25"/>
    </row>
    <row r="142" spans="3:33" x14ac:dyDescent="0.2"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S142" s="25"/>
      <c r="T142" s="25"/>
      <c r="U142" s="25"/>
      <c r="V142" s="25"/>
      <c r="W142" s="25"/>
    </row>
    <row r="143" spans="3:33" x14ac:dyDescent="0.2">
      <c r="C143" s="25">
        <v>14</v>
      </c>
      <c r="D143" s="25">
        <v>13</v>
      </c>
      <c r="E143" s="25" t="s">
        <v>329</v>
      </c>
      <c r="F143" s="24">
        <v>2360</v>
      </c>
      <c r="G143" s="25"/>
      <c r="H143" s="25"/>
      <c r="I143" s="25"/>
      <c r="J143" s="25" t="s">
        <v>330</v>
      </c>
      <c r="K143" s="25">
        <v>0</v>
      </c>
      <c r="L143" s="25"/>
      <c r="M143" s="25"/>
      <c r="S143" s="25"/>
      <c r="T143" s="25"/>
      <c r="U143" s="25"/>
      <c r="V143" s="25"/>
      <c r="W143" s="25"/>
    </row>
    <row r="144" spans="3:33" x14ac:dyDescent="0.2">
      <c r="C144" s="25"/>
      <c r="D144" s="25"/>
      <c r="E144" s="25"/>
      <c r="F144" s="25"/>
      <c r="G144" s="25"/>
      <c r="H144" s="25"/>
      <c r="I144" s="25"/>
      <c r="J144" s="25" t="s">
        <v>331</v>
      </c>
      <c r="K144" s="25">
        <v>0</v>
      </c>
      <c r="L144" s="25"/>
      <c r="M144" s="25"/>
      <c r="S144" s="25"/>
      <c r="T144" s="25"/>
      <c r="U144" s="25"/>
      <c r="V144" s="25"/>
      <c r="W144" s="25"/>
    </row>
    <row r="145" spans="3:23" x14ac:dyDescent="0.2">
      <c r="C145" s="25"/>
      <c r="D145" s="25"/>
      <c r="E145" s="25"/>
      <c r="F145" s="25"/>
      <c r="G145" s="25"/>
      <c r="H145" s="25"/>
      <c r="I145" s="25"/>
      <c r="J145" s="25" t="s">
        <v>332</v>
      </c>
      <c r="K145" s="25">
        <v>925</v>
      </c>
      <c r="L145" s="25"/>
      <c r="M145" s="25"/>
      <c r="S145" s="25"/>
      <c r="T145" s="25"/>
      <c r="U145" s="25"/>
      <c r="V145" s="25"/>
      <c r="W145" s="25"/>
    </row>
    <row r="146" spans="3:23" x14ac:dyDescent="0.2">
      <c r="C146" s="25"/>
      <c r="D146" s="25"/>
      <c r="E146" s="25"/>
      <c r="F146" s="25"/>
      <c r="G146" s="25"/>
      <c r="H146" s="25"/>
      <c r="I146" s="25"/>
      <c r="J146" s="25" t="s">
        <v>333</v>
      </c>
      <c r="K146" s="25">
        <v>1400</v>
      </c>
      <c r="L146" s="25"/>
      <c r="M146" s="25"/>
      <c r="S146" s="25"/>
      <c r="T146" s="25"/>
      <c r="U146" s="25"/>
      <c r="V146" s="25"/>
      <c r="W146" s="25"/>
    </row>
    <row r="147" spans="3:23" x14ac:dyDescent="0.2">
      <c r="C147" s="25"/>
      <c r="D147" s="25"/>
      <c r="E147" s="25"/>
      <c r="F147" s="25"/>
      <c r="G147" s="25"/>
      <c r="H147" s="25"/>
      <c r="I147" s="25"/>
      <c r="J147" s="25" t="s">
        <v>334</v>
      </c>
      <c r="K147" s="25">
        <v>1400</v>
      </c>
      <c r="L147" s="25"/>
      <c r="M147" s="25"/>
      <c r="S147" s="25"/>
      <c r="T147" s="25"/>
      <c r="U147" s="25"/>
      <c r="V147" s="25"/>
      <c r="W147" s="25"/>
    </row>
    <row r="148" spans="3:23" x14ac:dyDescent="0.2"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S148" s="25"/>
      <c r="T148" s="25"/>
      <c r="U148" s="25"/>
      <c r="V148" s="25"/>
      <c r="W148" s="25"/>
    </row>
    <row r="149" spans="3:23" x14ac:dyDescent="0.2">
      <c r="C149" s="25">
        <v>15</v>
      </c>
      <c r="D149" s="25">
        <v>14</v>
      </c>
      <c r="E149" s="25" t="s">
        <v>329</v>
      </c>
      <c r="F149" s="24">
        <v>2120</v>
      </c>
      <c r="G149" s="25"/>
      <c r="H149" s="25"/>
      <c r="I149" s="25"/>
      <c r="J149" s="25" t="s">
        <v>330</v>
      </c>
      <c r="K149" s="25">
        <v>0</v>
      </c>
      <c r="L149" s="25"/>
      <c r="M149" s="25"/>
      <c r="S149" s="25"/>
      <c r="T149" s="25"/>
      <c r="U149" s="25"/>
      <c r="V149" s="25"/>
      <c r="W149" s="25"/>
    </row>
    <row r="150" spans="3:23" x14ac:dyDescent="0.2">
      <c r="C150" s="25"/>
      <c r="D150" s="25"/>
      <c r="E150" s="25"/>
      <c r="F150" s="25"/>
      <c r="G150" s="25"/>
      <c r="H150" s="25"/>
      <c r="I150" s="25"/>
      <c r="J150" s="25" t="s">
        <v>331</v>
      </c>
      <c r="K150" s="25">
        <v>0</v>
      </c>
      <c r="L150" s="25"/>
      <c r="M150" s="25"/>
      <c r="S150" s="25"/>
      <c r="T150" s="25"/>
      <c r="U150" s="25"/>
      <c r="V150" s="25"/>
      <c r="W150" s="25"/>
    </row>
    <row r="151" spans="3:23" x14ac:dyDescent="0.2">
      <c r="C151" s="25"/>
      <c r="D151" s="25"/>
      <c r="E151" s="25"/>
      <c r="F151" s="25"/>
      <c r="G151" s="25"/>
      <c r="H151" s="25"/>
      <c r="I151" s="25"/>
      <c r="J151" s="25" t="s">
        <v>332</v>
      </c>
      <c r="K151" s="25">
        <v>925</v>
      </c>
      <c r="L151" s="25"/>
      <c r="M151" s="25"/>
      <c r="S151" s="25"/>
      <c r="T151" s="25"/>
      <c r="U151" s="25"/>
      <c r="V151" s="25"/>
      <c r="W151" s="25"/>
    </row>
    <row r="152" spans="3:23" x14ac:dyDescent="0.2">
      <c r="C152" s="25"/>
      <c r="D152" s="25"/>
      <c r="E152" s="25"/>
      <c r="F152" s="25"/>
      <c r="G152" s="25"/>
      <c r="H152" s="25"/>
      <c r="I152" s="25"/>
      <c r="J152" s="25" t="s">
        <v>333</v>
      </c>
      <c r="K152" s="25">
        <v>1400</v>
      </c>
      <c r="L152" s="25"/>
      <c r="M152" s="25"/>
      <c r="S152" s="25"/>
      <c r="T152" s="25"/>
      <c r="U152" s="25"/>
      <c r="V152" s="25"/>
      <c r="W152" s="25"/>
    </row>
    <row r="153" spans="3:23" x14ac:dyDescent="0.2">
      <c r="C153" s="25"/>
      <c r="D153" s="25"/>
      <c r="E153" s="25"/>
      <c r="F153" s="25"/>
      <c r="G153" s="25"/>
      <c r="H153" s="25"/>
      <c r="I153" s="25"/>
      <c r="J153" s="25" t="s">
        <v>334</v>
      </c>
      <c r="K153" s="25">
        <v>1400</v>
      </c>
      <c r="L153" s="25"/>
      <c r="M153" s="25"/>
      <c r="S153" s="25"/>
      <c r="T153" s="25"/>
      <c r="U153" s="25"/>
      <c r="V153" s="25"/>
      <c r="W153" s="25"/>
    </row>
    <row r="154" spans="3:23" x14ac:dyDescent="0.2"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S154" s="25"/>
      <c r="T154" s="25"/>
      <c r="U154" s="25"/>
      <c r="V154" s="25"/>
      <c r="W154" s="25"/>
    </row>
    <row r="155" spans="3:23" x14ac:dyDescent="0.2">
      <c r="C155" s="25"/>
      <c r="D155" s="25"/>
      <c r="E155" s="25" t="s">
        <v>329</v>
      </c>
      <c r="F155" s="25">
        <v>2120</v>
      </c>
      <c r="G155" s="25"/>
      <c r="H155" s="25"/>
      <c r="I155" s="25"/>
      <c r="J155" s="25" t="s">
        <v>330</v>
      </c>
      <c r="K155" s="24">
        <v>0</v>
      </c>
      <c r="L155" s="25"/>
      <c r="M155" s="25"/>
      <c r="S155" s="25"/>
      <c r="T155" s="25"/>
      <c r="U155" s="25"/>
      <c r="V155" s="25"/>
      <c r="W155" s="25"/>
    </row>
    <row r="156" spans="3:23" x14ac:dyDescent="0.2">
      <c r="C156" s="25"/>
      <c r="D156" s="25"/>
      <c r="E156" s="25"/>
      <c r="F156" s="25"/>
      <c r="G156" s="25"/>
      <c r="H156" s="25"/>
      <c r="I156" s="25"/>
      <c r="J156" s="25" t="s">
        <v>331</v>
      </c>
      <c r="K156" s="24">
        <v>0</v>
      </c>
      <c r="L156" s="25"/>
      <c r="M156" s="25"/>
      <c r="S156" s="25"/>
      <c r="T156" s="25"/>
      <c r="U156" s="25"/>
      <c r="V156" s="25"/>
      <c r="W156" s="25"/>
    </row>
    <row r="157" spans="3:23" x14ac:dyDescent="0.2">
      <c r="C157" s="25"/>
      <c r="D157" s="25"/>
      <c r="E157" s="25"/>
      <c r="F157" s="25"/>
      <c r="G157" s="25"/>
      <c r="H157" s="25"/>
      <c r="I157" s="25"/>
      <c r="J157" s="25" t="s">
        <v>332</v>
      </c>
      <c r="K157" s="24">
        <v>450</v>
      </c>
      <c r="L157" s="25"/>
      <c r="M157" s="25"/>
      <c r="S157" s="25"/>
      <c r="T157" s="25"/>
      <c r="U157" s="25"/>
      <c r="V157" s="25"/>
      <c r="W157" s="25"/>
    </row>
    <row r="158" spans="3:23" x14ac:dyDescent="0.2">
      <c r="C158" s="25"/>
      <c r="D158" s="25"/>
      <c r="E158" s="25"/>
      <c r="F158" s="25"/>
      <c r="G158" s="25"/>
      <c r="H158" s="25"/>
      <c r="I158" s="25"/>
      <c r="J158" s="25" t="s">
        <v>333</v>
      </c>
      <c r="K158" s="24">
        <v>1400</v>
      </c>
      <c r="L158" s="25"/>
      <c r="M158" s="25"/>
      <c r="S158" s="25"/>
      <c r="T158" s="25"/>
      <c r="U158" s="25"/>
      <c r="V158" s="25"/>
      <c r="W158" s="25"/>
    </row>
    <row r="159" spans="3:23" x14ac:dyDescent="0.2">
      <c r="C159" s="25"/>
      <c r="D159" s="25"/>
      <c r="E159" s="25"/>
      <c r="F159" s="25"/>
      <c r="G159" s="25"/>
      <c r="H159" s="25"/>
      <c r="I159" s="25"/>
      <c r="J159" s="25" t="s">
        <v>334</v>
      </c>
      <c r="K159" s="24">
        <v>1400</v>
      </c>
      <c r="L159" s="25"/>
      <c r="M159" s="25"/>
      <c r="S159" s="25"/>
      <c r="T159" s="25"/>
      <c r="U159" s="25"/>
      <c r="V159" s="25"/>
      <c r="W159" s="25"/>
    </row>
    <row r="160" spans="3:23" x14ac:dyDescent="0.2"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S160" s="25"/>
      <c r="T160" s="25"/>
      <c r="U160" s="25"/>
      <c r="V160" s="25"/>
      <c r="W160" s="25"/>
    </row>
    <row r="161" spans="3:23" x14ac:dyDescent="0.2">
      <c r="C161" s="25">
        <v>16</v>
      </c>
      <c r="D161" s="25">
        <v>15</v>
      </c>
      <c r="E161" s="25" t="s">
        <v>329</v>
      </c>
      <c r="F161" s="24">
        <v>1880</v>
      </c>
      <c r="G161" s="25"/>
      <c r="H161" s="25"/>
      <c r="I161" s="25"/>
      <c r="J161" s="25" t="s">
        <v>330</v>
      </c>
      <c r="K161" s="25">
        <v>0</v>
      </c>
      <c r="L161" s="25"/>
      <c r="M161" s="25"/>
      <c r="S161" s="25"/>
      <c r="T161" s="25"/>
      <c r="U161" s="25"/>
      <c r="V161" s="25"/>
      <c r="W161" s="25"/>
    </row>
    <row r="162" spans="3:23" x14ac:dyDescent="0.2">
      <c r="C162" s="25"/>
      <c r="D162" s="25"/>
      <c r="E162" s="25"/>
      <c r="F162" s="25"/>
      <c r="G162" s="25"/>
      <c r="H162" s="25"/>
      <c r="I162" s="25"/>
      <c r="J162" s="25" t="s">
        <v>331</v>
      </c>
      <c r="K162" s="25">
        <v>0</v>
      </c>
      <c r="L162" s="25"/>
      <c r="M162" s="25"/>
      <c r="S162" s="25"/>
      <c r="T162" s="25"/>
      <c r="U162" s="25"/>
      <c r="V162" s="25"/>
      <c r="W162" s="25"/>
    </row>
    <row r="163" spans="3:23" x14ac:dyDescent="0.2">
      <c r="C163" s="25"/>
      <c r="D163" s="25"/>
      <c r="E163" s="25"/>
      <c r="F163" s="25"/>
      <c r="G163" s="25"/>
      <c r="H163" s="25"/>
      <c r="I163" s="25"/>
      <c r="J163" s="25" t="s">
        <v>332</v>
      </c>
      <c r="K163" s="25">
        <v>450</v>
      </c>
      <c r="L163" s="25"/>
      <c r="M163" s="25"/>
      <c r="S163" s="25"/>
      <c r="T163" s="25"/>
      <c r="U163" s="25"/>
      <c r="V163" s="25"/>
      <c r="W163" s="25"/>
    </row>
    <row r="164" spans="3:23" x14ac:dyDescent="0.2">
      <c r="C164" s="25"/>
      <c r="D164" s="25"/>
      <c r="E164" s="25"/>
      <c r="F164" s="25"/>
      <c r="G164" s="25"/>
      <c r="H164" s="25"/>
      <c r="I164" s="25"/>
      <c r="J164" s="25" t="s">
        <v>333</v>
      </c>
      <c r="K164" s="25">
        <v>1400</v>
      </c>
      <c r="L164" s="25"/>
      <c r="M164" s="25"/>
      <c r="S164" s="25"/>
      <c r="T164" s="25"/>
      <c r="U164" s="25"/>
      <c r="V164" s="25"/>
      <c r="W164" s="25"/>
    </row>
    <row r="165" spans="3:23" x14ac:dyDescent="0.2">
      <c r="C165" s="25"/>
      <c r="D165" s="25"/>
      <c r="E165" s="25"/>
      <c r="F165" s="25"/>
      <c r="G165" s="25"/>
      <c r="H165" s="25"/>
      <c r="I165" s="25"/>
      <c r="J165" s="25" t="s">
        <v>334</v>
      </c>
      <c r="K165" s="25">
        <v>1400</v>
      </c>
      <c r="L165" s="25"/>
      <c r="M165" s="25"/>
      <c r="S165" s="25"/>
      <c r="T165" s="25"/>
      <c r="U165" s="25"/>
      <c r="V165" s="25"/>
      <c r="W165" s="25"/>
    </row>
    <row r="166" spans="3:23" x14ac:dyDescent="0.2"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S166" s="25"/>
      <c r="T166" s="25"/>
      <c r="U166" s="25"/>
      <c r="V166" s="25"/>
      <c r="W166" s="25"/>
    </row>
    <row r="167" spans="3:23" x14ac:dyDescent="0.2">
      <c r="C167" s="25">
        <v>17</v>
      </c>
      <c r="D167" s="25">
        <v>16</v>
      </c>
      <c r="E167" s="25" t="s">
        <v>329</v>
      </c>
      <c r="F167" s="24">
        <v>1640</v>
      </c>
      <c r="G167" s="25"/>
      <c r="H167" s="25"/>
      <c r="I167" s="25"/>
      <c r="J167" s="25" t="s">
        <v>330</v>
      </c>
      <c r="K167" s="25">
        <v>0</v>
      </c>
      <c r="L167" s="25"/>
      <c r="M167" s="25"/>
      <c r="S167" s="25"/>
      <c r="T167" s="25"/>
      <c r="U167" s="25"/>
      <c r="V167" s="25"/>
      <c r="W167" s="25"/>
    </row>
    <row r="168" spans="3:23" x14ac:dyDescent="0.2">
      <c r="C168" s="25"/>
      <c r="D168" s="25"/>
      <c r="E168" s="25"/>
      <c r="F168" s="25"/>
      <c r="G168" s="25"/>
      <c r="H168" s="25"/>
      <c r="I168" s="25"/>
      <c r="J168" s="25" t="s">
        <v>331</v>
      </c>
      <c r="K168" s="25">
        <v>0</v>
      </c>
      <c r="L168" s="25"/>
      <c r="M168" s="25"/>
      <c r="S168" s="25"/>
      <c r="T168" s="25"/>
      <c r="U168" s="25"/>
      <c r="V168" s="25"/>
      <c r="W168" s="25"/>
    </row>
    <row r="169" spans="3:23" x14ac:dyDescent="0.2">
      <c r="C169" s="25"/>
      <c r="D169" s="25"/>
      <c r="E169" s="25"/>
      <c r="F169" s="25"/>
      <c r="G169" s="25"/>
      <c r="H169" s="25"/>
      <c r="I169" s="25"/>
      <c r="J169" s="25" t="s">
        <v>332</v>
      </c>
      <c r="K169" s="25">
        <v>450</v>
      </c>
      <c r="L169" s="25"/>
      <c r="M169" s="25"/>
      <c r="S169" s="25"/>
      <c r="T169" s="25"/>
      <c r="U169" s="25"/>
      <c r="V169" s="25"/>
      <c r="W169" s="25"/>
    </row>
    <row r="170" spans="3:23" x14ac:dyDescent="0.2">
      <c r="C170" s="25"/>
      <c r="D170" s="25"/>
      <c r="E170" s="25"/>
      <c r="F170" s="25"/>
      <c r="G170" s="25"/>
      <c r="H170" s="25"/>
      <c r="I170" s="25"/>
      <c r="J170" s="25" t="s">
        <v>333</v>
      </c>
      <c r="K170" s="25">
        <v>1400</v>
      </c>
      <c r="L170" s="25"/>
      <c r="M170" s="25"/>
      <c r="S170" s="25"/>
      <c r="T170" s="25"/>
      <c r="U170" s="25"/>
      <c r="V170" s="25"/>
      <c r="W170" s="25"/>
    </row>
    <row r="171" spans="3:23" x14ac:dyDescent="0.2">
      <c r="C171" s="25"/>
      <c r="D171" s="25"/>
      <c r="E171" s="25"/>
      <c r="F171" s="25"/>
      <c r="G171" s="25"/>
      <c r="H171" s="25"/>
      <c r="I171" s="25"/>
      <c r="J171" s="25" t="s">
        <v>334</v>
      </c>
      <c r="K171" s="25">
        <v>1400</v>
      </c>
      <c r="L171" s="25"/>
      <c r="M171" s="25"/>
      <c r="S171" s="25"/>
      <c r="T171" s="25"/>
      <c r="U171" s="25"/>
      <c r="V171" s="25"/>
      <c r="W171" s="25"/>
    </row>
    <row r="172" spans="3:23" x14ac:dyDescent="0.2"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S172" s="25"/>
      <c r="T172" s="25"/>
      <c r="U172" s="25"/>
      <c r="V172" s="25"/>
      <c r="W172" s="25"/>
    </row>
    <row r="173" spans="3:23" x14ac:dyDescent="0.2">
      <c r="C173" s="25"/>
      <c r="D173" s="25"/>
      <c r="E173" s="25" t="s">
        <v>329</v>
      </c>
      <c r="F173" s="25">
        <v>1640</v>
      </c>
      <c r="G173" s="25"/>
      <c r="H173" s="25"/>
      <c r="I173" s="25"/>
      <c r="J173" s="25" t="s">
        <v>330</v>
      </c>
      <c r="K173" s="24">
        <v>0</v>
      </c>
      <c r="L173" s="25"/>
      <c r="M173" s="25"/>
      <c r="S173" s="25"/>
      <c r="T173" s="25"/>
      <c r="U173" s="25"/>
      <c r="V173" s="25"/>
      <c r="W173" s="25"/>
    </row>
    <row r="174" spans="3:23" x14ac:dyDescent="0.2">
      <c r="C174" s="25"/>
      <c r="D174" s="25"/>
      <c r="E174" s="25"/>
      <c r="F174" s="25"/>
      <c r="G174" s="25"/>
      <c r="H174" s="25"/>
      <c r="I174" s="25"/>
      <c r="J174" s="25" t="s">
        <v>331</v>
      </c>
      <c r="K174" s="24">
        <v>0</v>
      </c>
      <c r="L174" s="25"/>
      <c r="M174" s="25"/>
      <c r="S174" s="25"/>
      <c r="T174" s="25"/>
      <c r="U174" s="25"/>
      <c r="V174" s="25"/>
      <c r="W174" s="25"/>
    </row>
    <row r="175" spans="3:23" x14ac:dyDescent="0.2">
      <c r="C175" s="25"/>
      <c r="D175" s="25"/>
      <c r="E175" s="25"/>
      <c r="F175" s="25"/>
      <c r="G175" s="25"/>
      <c r="H175" s="25"/>
      <c r="I175" s="25"/>
      <c r="J175" s="25" t="s">
        <v>332</v>
      </c>
      <c r="K175" s="24">
        <v>0</v>
      </c>
      <c r="L175" s="25"/>
      <c r="M175" s="25"/>
      <c r="S175" s="25"/>
      <c r="T175" s="25"/>
      <c r="U175" s="25"/>
      <c r="V175" s="25"/>
      <c r="W175" s="25"/>
    </row>
    <row r="176" spans="3:23" x14ac:dyDescent="0.2">
      <c r="C176" s="25"/>
      <c r="D176" s="25"/>
      <c r="E176" s="25"/>
      <c r="F176" s="25"/>
      <c r="G176" s="25"/>
      <c r="H176" s="25"/>
      <c r="I176" s="25"/>
      <c r="J176" s="25" t="s">
        <v>333</v>
      </c>
      <c r="K176" s="24">
        <v>1400</v>
      </c>
      <c r="L176" s="25"/>
      <c r="M176" s="25"/>
      <c r="S176" s="25"/>
      <c r="T176" s="25"/>
      <c r="U176" s="25"/>
      <c r="V176" s="25"/>
      <c r="W176" s="25"/>
    </row>
    <row r="177" spans="3:23" x14ac:dyDescent="0.2">
      <c r="C177" s="25"/>
      <c r="D177" s="25"/>
      <c r="E177" s="25"/>
      <c r="F177" s="25"/>
      <c r="G177" s="25"/>
      <c r="H177" s="25"/>
      <c r="I177" s="25"/>
      <c r="J177" s="25" t="s">
        <v>334</v>
      </c>
      <c r="K177" s="24">
        <v>1400</v>
      </c>
      <c r="L177" s="25"/>
      <c r="M177" s="25"/>
      <c r="S177" s="25"/>
      <c r="T177" s="25"/>
      <c r="U177" s="25"/>
      <c r="V177" s="25"/>
      <c r="W177" s="25"/>
    </row>
    <row r="178" spans="3:23" x14ac:dyDescent="0.2"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S178" s="25"/>
      <c r="T178" s="25"/>
      <c r="U178" s="25"/>
      <c r="V178" s="25"/>
      <c r="W178" s="25"/>
    </row>
    <row r="179" spans="3:23" x14ac:dyDescent="0.2">
      <c r="C179" s="25">
        <v>18</v>
      </c>
      <c r="D179" s="25">
        <v>17</v>
      </c>
      <c r="E179" s="25" t="s">
        <v>329</v>
      </c>
      <c r="F179" s="24">
        <v>1480</v>
      </c>
      <c r="G179" s="25"/>
      <c r="H179" s="25"/>
      <c r="I179" s="25"/>
      <c r="J179" s="25" t="s">
        <v>330</v>
      </c>
      <c r="K179" s="25">
        <v>0</v>
      </c>
      <c r="L179" s="25"/>
      <c r="M179" s="25"/>
      <c r="S179" s="25"/>
      <c r="T179" s="25"/>
      <c r="U179" s="25"/>
      <c r="V179" s="25"/>
      <c r="W179" s="25"/>
    </row>
    <row r="180" spans="3:23" x14ac:dyDescent="0.2">
      <c r="C180" s="25"/>
      <c r="D180" s="25"/>
      <c r="E180" s="25"/>
      <c r="F180" s="25"/>
      <c r="G180" s="25"/>
      <c r="H180" s="25"/>
      <c r="I180" s="25"/>
      <c r="J180" s="25" t="s">
        <v>331</v>
      </c>
      <c r="K180" s="25">
        <v>0</v>
      </c>
      <c r="L180" s="25"/>
      <c r="M180" s="25"/>
      <c r="S180" s="25"/>
      <c r="T180" s="25"/>
      <c r="U180" s="25"/>
      <c r="V180" s="25"/>
      <c r="W180" s="25"/>
    </row>
    <row r="181" spans="3:23" x14ac:dyDescent="0.2">
      <c r="C181" s="25"/>
      <c r="D181" s="25"/>
      <c r="E181" s="25"/>
      <c r="F181" s="25"/>
      <c r="G181" s="25"/>
      <c r="H181" s="25"/>
      <c r="I181" s="25"/>
      <c r="J181" s="25" t="s">
        <v>332</v>
      </c>
      <c r="K181" s="25">
        <v>0</v>
      </c>
      <c r="L181" s="25"/>
      <c r="M181" s="25"/>
      <c r="S181" s="25"/>
      <c r="T181" s="25"/>
      <c r="U181" s="25"/>
      <c r="V181" s="25"/>
      <c r="W181" s="25"/>
    </row>
    <row r="182" spans="3:23" x14ac:dyDescent="0.2">
      <c r="C182" s="25"/>
      <c r="D182" s="25"/>
      <c r="E182" s="25"/>
      <c r="F182" s="25"/>
      <c r="G182" s="25"/>
      <c r="H182" s="25"/>
      <c r="I182" s="25"/>
      <c r="J182" s="25" t="s">
        <v>333</v>
      </c>
      <c r="K182" s="25">
        <v>1400</v>
      </c>
      <c r="L182" s="25"/>
      <c r="M182" s="25"/>
      <c r="S182" s="25"/>
      <c r="T182" s="25"/>
      <c r="U182" s="25"/>
      <c r="V182" s="25"/>
      <c r="W182" s="25"/>
    </row>
    <row r="183" spans="3:23" x14ac:dyDescent="0.2">
      <c r="C183" s="25"/>
      <c r="D183" s="25"/>
      <c r="E183" s="25"/>
      <c r="F183" s="25"/>
      <c r="G183" s="25"/>
      <c r="H183" s="25"/>
      <c r="I183" s="25"/>
      <c r="J183" s="25" t="s">
        <v>334</v>
      </c>
      <c r="K183" s="25">
        <v>1400</v>
      </c>
      <c r="L183" s="25"/>
      <c r="M183" s="25"/>
      <c r="S183" s="25"/>
      <c r="T183" s="25"/>
      <c r="U183" s="25"/>
      <c r="V183" s="25"/>
      <c r="W183" s="25"/>
    </row>
    <row r="184" spans="3:23" x14ac:dyDescent="0.2"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S184" s="25"/>
      <c r="T184" s="25"/>
      <c r="U184" s="25"/>
      <c r="V184" s="25"/>
      <c r="W184" s="25"/>
    </row>
    <row r="185" spans="3:23" x14ac:dyDescent="0.2">
      <c r="C185" s="25">
        <v>19</v>
      </c>
      <c r="D185" s="25">
        <v>18</v>
      </c>
      <c r="E185" s="25" t="s">
        <v>329</v>
      </c>
      <c r="F185" s="24">
        <v>1320</v>
      </c>
      <c r="G185" s="25"/>
      <c r="H185" s="25"/>
      <c r="I185" s="25"/>
      <c r="J185" s="25" t="s">
        <v>330</v>
      </c>
      <c r="K185" s="25">
        <v>0</v>
      </c>
      <c r="L185" s="25"/>
      <c r="M185" s="25"/>
      <c r="S185" s="25"/>
      <c r="T185" s="25"/>
      <c r="U185" s="25"/>
      <c r="V185" s="25"/>
      <c r="W185" s="25"/>
    </row>
    <row r="186" spans="3:23" x14ac:dyDescent="0.2">
      <c r="C186" s="25"/>
      <c r="D186" s="25"/>
      <c r="E186" s="25"/>
      <c r="F186" s="25"/>
      <c r="G186" s="25"/>
      <c r="H186" s="25"/>
      <c r="I186" s="25"/>
      <c r="J186" s="25" t="s">
        <v>331</v>
      </c>
      <c r="K186" s="25">
        <v>0</v>
      </c>
      <c r="L186" s="25"/>
      <c r="M186" s="25"/>
      <c r="S186" s="25"/>
      <c r="T186" s="25"/>
      <c r="U186" s="25"/>
      <c r="V186" s="25"/>
      <c r="W186" s="25"/>
    </row>
    <row r="187" spans="3:23" x14ac:dyDescent="0.2">
      <c r="C187" s="25"/>
      <c r="D187" s="25"/>
      <c r="E187" s="25"/>
      <c r="F187" s="25"/>
      <c r="G187" s="25"/>
      <c r="H187" s="25"/>
      <c r="I187" s="25"/>
      <c r="J187" s="25" t="s">
        <v>332</v>
      </c>
      <c r="K187" s="25">
        <v>0</v>
      </c>
      <c r="L187" s="25"/>
      <c r="M187" s="25"/>
      <c r="S187" s="25"/>
      <c r="T187" s="25"/>
      <c r="U187" s="25"/>
      <c r="V187" s="25"/>
      <c r="W187" s="25"/>
    </row>
    <row r="188" spans="3:23" x14ac:dyDescent="0.2">
      <c r="C188" s="25"/>
      <c r="D188" s="25"/>
      <c r="E188" s="25"/>
      <c r="F188" s="25"/>
      <c r="G188" s="25"/>
      <c r="H188" s="25"/>
      <c r="I188" s="25"/>
      <c r="J188" s="25" t="s">
        <v>333</v>
      </c>
      <c r="K188" s="25">
        <v>1400</v>
      </c>
      <c r="L188" s="25"/>
      <c r="M188" s="25"/>
      <c r="S188" s="25"/>
      <c r="T188" s="25"/>
      <c r="U188" s="25"/>
      <c r="V188" s="25"/>
      <c r="W188" s="25"/>
    </row>
    <row r="189" spans="3:23" x14ac:dyDescent="0.2">
      <c r="C189" s="25"/>
      <c r="D189" s="25"/>
      <c r="E189" s="25"/>
      <c r="F189" s="25"/>
      <c r="G189" s="25"/>
      <c r="H189" s="25"/>
      <c r="I189" s="25"/>
      <c r="J189" s="25" t="s">
        <v>334</v>
      </c>
      <c r="K189" s="25">
        <v>1400</v>
      </c>
      <c r="L189" s="25"/>
      <c r="M189" s="25"/>
      <c r="S189" s="25"/>
      <c r="T189" s="25"/>
      <c r="U189" s="25"/>
      <c r="V189" s="25"/>
      <c r="W189" s="25"/>
    </row>
    <row r="190" spans="3:23" x14ac:dyDescent="0.2"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S190" s="25"/>
      <c r="T190" s="25"/>
      <c r="U190" s="25"/>
      <c r="V190" s="25"/>
      <c r="W190" s="25"/>
    </row>
    <row r="191" spans="3:23" x14ac:dyDescent="0.2">
      <c r="C191" s="25"/>
      <c r="D191" s="25"/>
      <c r="E191" s="25" t="s">
        <v>329</v>
      </c>
      <c r="F191" s="25">
        <v>1320</v>
      </c>
      <c r="G191" s="25"/>
      <c r="H191" s="25"/>
      <c r="I191" s="25"/>
      <c r="J191" s="25" t="s">
        <v>330</v>
      </c>
      <c r="K191" s="24">
        <v>0</v>
      </c>
      <c r="L191" s="25"/>
      <c r="M191" s="25"/>
      <c r="S191" s="25"/>
      <c r="T191" s="25"/>
      <c r="U191" s="25"/>
      <c r="V191" s="25"/>
      <c r="W191" s="25"/>
    </row>
    <row r="192" spans="3:23" x14ac:dyDescent="0.2">
      <c r="C192" s="25"/>
      <c r="D192" s="25"/>
      <c r="E192" s="25"/>
      <c r="F192" s="25"/>
      <c r="G192" s="25"/>
      <c r="H192" s="25"/>
      <c r="I192" s="25"/>
      <c r="J192" s="25" t="s">
        <v>331</v>
      </c>
      <c r="K192" s="24">
        <v>0</v>
      </c>
      <c r="L192" s="25"/>
      <c r="M192" s="25"/>
      <c r="S192" s="25"/>
      <c r="T192" s="25"/>
      <c r="U192" s="25"/>
      <c r="V192" s="25"/>
      <c r="W192" s="25"/>
    </row>
    <row r="193" spans="3:23" x14ac:dyDescent="0.2">
      <c r="C193" s="25"/>
      <c r="D193" s="25"/>
      <c r="E193" s="25"/>
      <c r="F193" s="25"/>
      <c r="G193" s="25"/>
      <c r="H193" s="25"/>
      <c r="I193" s="25"/>
      <c r="J193" s="25" t="s">
        <v>332</v>
      </c>
      <c r="K193" s="24">
        <v>0</v>
      </c>
      <c r="L193" s="25"/>
      <c r="M193" s="25"/>
      <c r="S193" s="25"/>
      <c r="T193" s="25"/>
      <c r="U193" s="25"/>
      <c r="V193" s="25"/>
      <c r="W193" s="25"/>
    </row>
    <row r="194" spans="3:23" x14ac:dyDescent="0.2">
      <c r="C194" s="25"/>
      <c r="D194" s="25"/>
      <c r="E194" s="25"/>
      <c r="F194" s="25"/>
      <c r="G194" s="25"/>
      <c r="H194" s="25"/>
      <c r="I194" s="25"/>
      <c r="J194" s="25" t="s">
        <v>333</v>
      </c>
      <c r="K194" s="24">
        <v>925</v>
      </c>
      <c r="L194" s="25"/>
      <c r="M194" s="25"/>
      <c r="S194" s="25"/>
      <c r="T194" s="25"/>
      <c r="U194" s="25"/>
      <c r="V194" s="25"/>
      <c r="W194" s="25"/>
    </row>
    <row r="195" spans="3:23" x14ac:dyDescent="0.2">
      <c r="C195" s="25"/>
      <c r="D195" s="25"/>
      <c r="E195" s="25"/>
      <c r="F195" s="25"/>
      <c r="G195" s="25"/>
      <c r="H195" s="25"/>
      <c r="I195" s="25"/>
      <c r="J195" s="25" t="s">
        <v>334</v>
      </c>
      <c r="K195" s="24">
        <v>1400</v>
      </c>
      <c r="L195" s="25"/>
      <c r="M195" s="25"/>
      <c r="S195" s="25"/>
      <c r="T195" s="25"/>
      <c r="U195" s="25"/>
      <c r="V195" s="25"/>
      <c r="W195" s="25"/>
    </row>
    <row r="196" spans="3:23" x14ac:dyDescent="0.2"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S196" s="25"/>
      <c r="T196" s="25"/>
      <c r="U196" s="25"/>
      <c r="V196" s="25"/>
      <c r="W196" s="25"/>
    </row>
    <row r="197" spans="3:23" x14ac:dyDescent="0.2">
      <c r="C197" s="25">
        <v>20</v>
      </c>
      <c r="D197" s="25">
        <v>19</v>
      </c>
      <c r="E197" s="25" t="s">
        <v>329</v>
      </c>
      <c r="F197" s="24">
        <v>1160</v>
      </c>
      <c r="G197" s="25"/>
      <c r="H197" s="25"/>
      <c r="I197" s="25"/>
      <c r="J197" s="25" t="s">
        <v>330</v>
      </c>
      <c r="K197" s="25">
        <v>0</v>
      </c>
      <c r="L197" s="25"/>
      <c r="M197" s="25"/>
      <c r="S197" s="25"/>
      <c r="T197" s="25"/>
      <c r="U197" s="25"/>
      <c r="V197" s="25"/>
      <c r="W197" s="25"/>
    </row>
    <row r="198" spans="3:23" x14ac:dyDescent="0.2">
      <c r="C198" s="25"/>
      <c r="D198" s="25"/>
      <c r="E198" s="25"/>
      <c r="F198" s="25"/>
      <c r="G198" s="25"/>
      <c r="H198" s="25"/>
      <c r="I198" s="25"/>
      <c r="J198" s="25" t="s">
        <v>331</v>
      </c>
      <c r="K198" s="25">
        <v>0</v>
      </c>
      <c r="L198" s="25"/>
      <c r="M198" s="25"/>
      <c r="S198" s="25"/>
      <c r="T198" s="25"/>
      <c r="U198" s="25"/>
      <c r="V198" s="25"/>
      <c r="W198" s="25"/>
    </row>
    <row r="199" spans="3:23" x14ac:dyDescent="0.2">
      <c r="C199" s="25"/>
      <c r="D199" s="25"/>
      <c r="E199" s="25"/>
      <c r="F199" s="25"/>
      <c r="G199" s="25"/>
      <c r="H199" s="25"/>
      <c r="I199" s="25"/>
      <c r="J199" s="25" t="s">
        <v>332</v>
      </c>
      <c r="K199" s="25">
        <v>0</v>
      </c>
      <c r="L199" s="25"/>
      <c r="M199" s="25"/>
      <c r="S199" s="25"/>
      <c r="T199" s="25"/>
      <c r="U199" s="25"/>
      <c r="V199" s="25"/>
      <c r="W199" s="25"/>
    </row>
    <row r="200" spans="3:23" x14ac:dyDescent="0.2">
      <c r="C200" s="25"/>
      <c r="D200" s="25"/>
      <c r="E200" s="25"/>
      <c r="F200" s="25"/>
      <c r="G200" s="25"/>
      <c r="H200" s="25"/>
      <c r="I200" s="25"/>
      <c r="J200" s="25" t="s">
        <v>333</v>
      </c>
      <c r="K200" s="25">
        <v>925</v>
      </c>
      <c r="L200" s="25"/>
      <c r="M200" s="25"/>
      <c r="S200" s="25"/>
      <c r="T200" s="25"/>
      <c r="U200" s="25"/>
      <c r="V200" s="25"/>
      <c r="W200" s="25"/>
    </row>
    <row r="201" spans="3:23" x14ac:dyDescent="0.2">
      <c r="C201" s="25"/>
      <c r="D201" s="25"/>
      <c r="E201" s="25"/>
      <c r="F201" s="25"/>
      <c r="G201" s="25"/>
      <c r="H201" s="25"/>
      <c r="I201" s="25"/>
      <c r="J201" s="25" t="s">
        <v>334</v>
      </c>
      <c r="K201" s="25">
        <v>1400</v>
      </c>
      <c r="L201" s="25"/>
      <c r="M201" s="25"/>
      <c r="S201" s="25"/>
      <c r="T201" s="25"/>
      <c r="U201" s="25"/>
      <c r="V201" s="25"/>
      <c r="W201" s="25"/>
    </row>
    <row r="202" spans="3:23" x14ac:dyDescent="0.2"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S202" s="25"/>
      <c r="T202" s="25"/>
      <c r="U202" s="25"/>
      <c r="V202" s="25"/>
      <c r="W202" s="25"/>
    </row>
    <row r="203" spans="3:23" x14ac:dyDescent="0.2">
      <c r="C203" s="25">
        <v>21</v>
      </c>
      <c r="D203" s="25">
        <v>20</v>
      </c>
      <c r="E203" s="25" t="s">
        <v>329</v>
      </c>
      <c r="F203" s="24">
        <v>1000</v>
      </c>
      <c r="G203" s="25"/>
      <c r="H203" s="25"/>
      <c r="I203" s="25"/>
      <c r="J203" s="25" t="s">
        <v>330</v>
      </c>
      <c r="K203" s="25">
        <v>0</v>
      </c>
      <c r="L203" s="25"/>
      <c r="M203" s="25"/>
      <c r="S203" s="25"/>
      <c r="T203" s="25"/>
      <c r="U203" s="25"/>
      <c r="V203" s="25"/>
      <c r="W203" s="25"/>
    </row>
    <row r="204" spans="3:23" x14ac:dyDescent="0.2">
      <c r="C204" s="25"/>
      <c r="D204" s="25"/>
      <c r="E204" s="25"/>
      <c r="F204" s="25"/>
      <c r="G204" s="25"/>
      <c r="H204" s="25"/>
      <c r="I204" s="25"/>
      <c r="J204" s="25" t="s">
        <v>331</v>
      </c>
      <c r="K204" s="25">
        <v>0</v>
      </c>
      <c r="L204" s="25"/>
      <c r="M204" s="25"/>
      <c r="S204" s="25"/>
      <c r="T204" s="25"/>
      <c r="U204" s="25"/>
      <c r="V204" s="25"/>
      <c r="W204" s="25"/>
    </row>
    <row r="205" spans="3:23" x14ac:dyDescent="0.2">
      <c r="C205" s="25"/>
      <c r="D205" s="25"/>
      <c r="E205" s="25"/>
      <c r="F205" s="25"/>
      <c r="G205" s="25"/>
      <c r="H205" s="25"/>
      <c r="I205" s="25"/>
      <c r="J205" s="25" t="s">
        <v>332</v>
      </c>
      <c r="K205" s="25">
        <v>0</v>
      </c>
      <c r="L205" s="25"/>
      <c r="M205" s="25"/>
      <c r="S205" s="25"/>
      <c r="T205" s="25"/>
      <c r="U205" s="25"/>
      <c r="V205" s="25"/>
      <c r="W205" s="25"/>
    </row>
    <row r="206" spans="3:23" x14ac:dyDescent="0.2">
      <c r="C206" s="25"/>
      <c r="D206" s="25"/>
      <c r="E206" s="25"/>
      <c r="F206" s="25"/>
      <c r="G206" s="25"/>
      <c r="H206" s="25"/>
      <c r="I206" s="25"/>
      <c r="J206" s="25" t="s">
        <v>333</v>
      </c>
      <c r="K206" s="25">
        <v>925</v>
      </c>
      <c r="L206" s="25"/>
      <c r="M206" s="25"/>
      <c r="S206" s="25"/>
      <c r="T206" s="25"/>
      <c r="U206" s="25"/>
      <c r="V206" s="25"/>
      <c r="W206" s="25"/>
    </row>
    <row r="207" spans="3:23" x14ac:dyDescent="0.2">
      <c r="C207" s="25"/>
      <c r="D207" s="25"/>
      <c r="E207" s="25"/>
      <c r="F207" s="25"/>
      <c r="G207" s="25"/>
      <c r="H207" s="25"/>
      <c r="I207" s="25"/>
      <c r="J207" s="25" t="s">
        <v>334</v>
      </c>
      <c r="K207" s="25">
        <v>1400</v>
      </c>
      <c r="L207" s="25"/>
      <c r="M207" s="25"/>
      <c r="S207" s="25"/>
      <c r="T207" s="25"/>
      <c r="U207" s="25"/>
      <c r="V207" s="25"/>
      <c r="W207" s="25"/>
    </row>
    <row r="208" spans="3:23" x14ac:dyDescent="0.2"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S208" s="25"/>
      <c r="T208" s="25"/>
      <c r="U208" s="25"/>
      <c r="V208" s="25"/>
      <c r="W208" s="25"/>
    </row>
    <row r="209" spans="3:23" x14ac:dyDescent="0.2">
      <c r="C209" s="25"/>
      <c r="D209" s="25"/>
      <c r="E209" s="25" t="s">
        <v>329</v>
      </c>
      <c r="F209" s="25">
        <v>1000</v>
      </c>
      <c r="G209" s="25"/>
      <c r="H209" s="25"/>
      <c r="I209" s="25"/>
      <c r="J209" s="25" t="s">
        <v>330</v>
      </c>
      <c r="K209" s="24">
        <v>0</v>
      </c>
      <c r="L209" s="25"/>
      <c r="M209" s="25"/>
      <c r="S209" s="25"/>
      <c r="T209" s="25"/>
      <c r="U209" s="25"/>
      <c r="V209" s="25"/>
      <c r="W209" s="25"/>
    </row>
    <row r="210" spans="3:23" x14ac:dyDescent="0.2">
      <c r="C210" s="25"/>
      <c r="D210" s="25"/>
      <c r="E210" s="25"/>
      <c r="F210" s="25"/>
      <c r="G210" s="25"/>
      <c r="H210" s="25"/>
      <c r="I210" s="25"/>
      <c r="J210" s="25" t="s">
        <v>331</v>
      </c>
      <c r="K210" s="24">
        <v>0</v>
      </c>
      <c r="L210" s="25"/>
      <c r="M210" s="25"/>
      <c r="S210" s="25"/>
      <c r="T210" s="25"/>
      <c r="U210" s="25"/>
      <c r="V210" s="25"/>
      <c r="W210" s="25"/>
    </row>
    <row r="211" spans="3:23" x14ac:dyDescent="0.2">
      <c r="C211" s="25"/>
      <c r="D211" s="25"/>
      <c r="E211" s="25"/>
      <c r="F211" s="25"/>
      <c r="G211" s="25"/>
      <c r="H211" s="25"/>
      <c r="I211" s="25"/>
      <c r="J211" s="25" t="s">
        <v>332</v>
      </c>
      <c r="K211" s="24">
        <v>0</v>
      </c>
      <c r="L211" s="25"/>
      <c r="M211" s="25"/>
      <c r="S211" s="25"/>
      <c r="T211" s="25"/>
      <c r="U211" s="25"/>
      <c r="V211" s="25"/>
      <c r="W211" s="25"/>
    </row>
    <row r="212" spans="3:23" x14ac:dyDescent="0.2">
      <c r="C212" s="25"/>
      <c r="D212" s="25"/>
      <c r="E212" s="25"/>
      <c r="F212" s="25"/>
      <c r="G212" s="25"/>
      <c r="H212" s="25"/>
      <c r="I212" s="25"/>
      <c r="J212" s="25" t="s">
        <v>333</v>
      </c>
      <c r="K212" s="24">
        <v>450</v>
      </c>
      <c r="L212" s="25"/>
      <c r="M212" s="25"/>
      <c r="S212" s="25"/>
      <c r="T212" s="25"/>
      <c r="U212" s="25"/>
      <c r="V212" s="25"/>
      <c r="W212" s="25"/>
    </row>
    <row r="213" spans="3:23" x14ac:dyDescent="0.2">
      <c r="C213" s="25"/>
      <c r="D213" s="25"/>
      <c r="E213" s="25"/>
      <c r="F213" s="25"/>
      <c r="G213" s="25"/>
      <c r="H213" s="25"/>
      <c r="I213" s="25"/>
      <c r="J213" s="25" t="s">
        <v>334</v>
      </c>
      <c r="K213" s="24">
        <v>1400</v>
      </c>
      <c r="L213" s="25"/>
      <c r="M213" s="25"/>
      <c r="S213" s="25"/>
      <c r="T213" s="25"/>
      <c r="U213" s="25"/>
      <c r="V213" s="25"/>
      <c r="W213" s="25"/>
    </row>
    <row r="214" spans="3:23" x14ac:dyDescent="0.2"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S214" s="25"/>
      <c r="T214" s="25"/>
      <c r="U214" s="25"/>
      <c r="V214" s="25"/>
      <c r="W214" s="25"/>
    </row>
    <row r="215" spans="3:23" x14ac:dyDescent="0.2">
      <c r="C215" s="25">
        <v>22</v>
      </c>
      <c r="D215" s="25">
        <v>21</v>
      </c>
      <c r="E215" s="25" t="s">
        <v>329</v>
      </c>
      <c r="F215" s="24">
        <v>840</v>
      </c>
      <c r="G215" s="25"/>
      <c r="H215" s="25"/>
      <c r="I215" s="25"/>
      <c r="J215" s="25" t="s">
        <v>330</v>
      </c>
      <c r="K215" s="25">
        <v>0</v>
      </c>
      <c r="L215" s="25"/>
      <c r="M215" s="25"/>
      <c r="S215" s="25"/>
      <c r="T215" s="25"/>
      <c r="U215" s="25"/>
      <c r="V215" s="25"/>
      <c r="W215" s="25"/>
    </row>
    <row r="216" spans="3:23" x14ac:dyDescent="0.2">
      <c r="C216" s="25"/>
      <c r="D216" s="25"/>
      <c r="E216" s="25"/>
      <c r="F216" s="25"/>
      <c r="G216" s="25"/>
      <c r="H216" s="25"/>
      <c r="I216" s="25"/>
      <c r="J216" s="25" t="s">
        <v>331</v>
      </c>
      <c r="K216" s="25">
        <v>0</v>
      </c>
      <c r="L216" s="25"/>
      <c r="M216" s="25"/>
      <c r="S216" s="25"/>
      <c r="T216" s="25"/>
      <c r="U216" s="25"/>
      <c r="V216" s="25"/>
      <c r="W216" s="25"/>
    </row>
    <row r="217" spans="3:23" x14ac:dyDescent="0.2">
      <c r="C217" s="25"/>
      <c r="D217" s="25"/>
      <c r="E217" s="25"/>
      <c r="F217" s="25"/>
      <c r="G217" s="25"/>
      <c r="H217" s="25"/>
      <c r="I217" s="25"/>
      <c r="J217" s="25" t="s">
        <v>332</v>
      </c>
      <c r="K217" s="25">
        <v>0</v>
      </c>
      <c r="L217" s="25"/>
      <c r="M217" s="25"/>
      <c r="S217" s="25"/>
      <c r="T217" s="25"/>
      <c r="U217" s="25"/>
      <c r="V217" s="25"/>
      <c r="W217" s="25"/>
    </row>
    <row r="218" spans="3:23" x14ac:dyDescent="0.2">
      <c r="C218" s="25"/>
      <c r="D218" s="25"/>
      <c r="E218" s="25"/>
      <c r="F218" s="25"/>
      <c r="G218" s="25"/>
      <c r="H218" s="25"/>
      <c r="I218" s="25"/>
      <c r="J218" s="25" t="s">
        <v>333</v>
      </c>
      <c r="K218" s="25">
        <v>450</v>
      </c>
      <c r="L218" s="25"/>
      <c r="M218" s="25"/>
      <c r="S218" s="25"/>
      <c r="T218" s="25"/>
      <c r="U218" s="25"/>
      <c r="V218" s="25"/>
      <c r="W218" s="25"/>
    </row>
    <row r="219" spans="3:23" x14ac:dyDescent="0.2">
      <c r="C219" s="25"/>
      <c r="D219" s="25"/>
      <c r="E219" s="25"/>
      <c r="F219" s="25"/>
      <c r="G219" s="25"/>
      <c r="H219" s="25"/>
      <c r="I219" s="25"/>
      <c r="J219" s="25" t="s">
        <v>334</v>
      </c>
      <c r="K219" s="25">
        <v>1400</v>
      </c>
      <c r="L219" s="25"/>
      <c r="M219" s="25"/>
      <c r="S219" s="25"/>
      <c r="T219" s="25"/>
      <c r="U219" s="25"/>
      <c r="V219" s="25"/>
      <c r="W219" s="25"/>
    </row>
    <row r="220" spans="3:23" x14ac:dyDescent="0.2"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S220" s="25"/>
      <c r="T220" s="25"/>
      <c r="U220" s="25"/>
      <c r="V220" s="25"/>
      <c r="W220" s="25"/>
    </row>
    <row r="221" spans="3:23" x14ac:dyDescent="0.2">
      <c r="C221" s="25">
        <v>23</v>
      </c>
      <c r="D221" s="25">
        <v>22</v>
      </c>
      <c r="E221" s="25" t="s">
        <v>329</v>
      </c>
      <c r="F221" s="24">
        <v>680</v>
      </c>
      <c r="G221" s="25"/>
      <c r="H221" s="25"/>
      <c r="I221" s="25"/>
      <c r="J221" s="25" t="s">
        <v>330</v>
      </c>
      <c r="K221" s="25">
        <v>0</v>
      </c>
      <c r="L221" s="25"/>
      <c r="M221" s="25"/>
      <c r="S221" s="25"/>
      <c r="T221" s="25"/>
      <c r="U221" s="25"/>
      <c r="V221" s="25"/>
      <c r="W221" s="25"/>
    </row>
    <row r="222" spans="3:23" x14ac:dyDescent="0.2">
      <c r="C222" s="25"/>
      <c r="D222" s="25"/>
      <c r="E222" s="25"/>
      <c r="F222" s="25"/>
      <c r="G222" s="25"/>
      <c r="H222" s="25"/>
      <c r="I222" s="25"/>
      <c r="J222" s="25" t="s">
        <v>331</v>
      </c>
      <c r="K222" s="25">
        <v>0</v>
      </c>
      <c r="L222" s="25"/>
      <c r="M222" s="25"/>
      <c r="S222" s="25"/>
      <c r="T222" s="25"/>
      <c r="U222" s="25"/>
      <c r="V222" s="25"/>
      <c r="W222" s="25"/>
    </row>
    <row r="223" spans="3:23" x14ac:dyDescent="0.2">
      <c r="C223" s="25"/>
      <c r="D223" s="25"/>
      <c r="E223" s="25"/>
      <c r="F223" s="25"/>
      <c r="G223" s="25"/>
      <c r="H223" s="25"/>
      <c r="I223" s="25"/>
      <c r="J223" s="25" t="s">
        <v>332</v>
      </c>
      <c r="K223" s="25">
        <v>0</v>
      </c>
      <c r="L223" s="25"/>
      <c r="M223" s="25"/>
      <c r="S223" s="25"/>
      <c r="T223" s="25"/>
      <c r="U223" s="25"/>
      <c r="V223" s="25"/>
      <c r="W223" s="25"/>
    </row>
    <row r="224" spans="3:23" x14ac:dyDescent="0.2">
      <c r="C224" s="25"/>
      <c r="D224" s="25"/>
      <c r="E224" s="25"/>
      <c r="F224" s="25"/>
      <c r="G224" s="25"/>
      <c r="H224" s="25"/>
      <c r="I224" s="25"/>
      <c r="J224" s="25" t="s">
        <v>333</v>
      </c>
      <c r="K224" s="25">
        <v>450</v>
      </c>
      <c r="L224" s="25"/>
      <c r="M224" s="25"/>
      <c r="S224" s="25"/>
      <c r="T224" s="25"/>
      <c r="U224" s="25"/>
      <c r="V224" s="25"/>
      <c r="W224" s="25"/>
    </row>
    <row r="225" spans="3:23" x14ac:dyDescent="0.2">
      <c r="C225" s="25"/>
      <c r="D225" s="25"/>
      <c r="E225" s="25"/>
      <c r="F225" s="25"/>
      <c r="G225" s="25"/>
      <c r="H225" s="25"/>
      <c r="I225" s="25"/>
      <c r="J225" s="25" t="s">
        <v>334</v>
      </c>
      <c r="K225" s="25">
        <v>1400</v>
      </c>
      <c r="L225" s="25"/>
      <c r="M225" s="25"/>
      <c r="S225" s="25"/>
      <c r="T225" s="25"/>
      <c r="U225" s="25"/>
      <c r="V225" s="25"/>
      <c r="W225" s="25"/>
    </row>
    <row r="226" spans="3:23" x14ac:dyDescent="0.2"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S226" s="25"/>
      <c r="T226" s="25"/>
      <c r="U226" s="25"/>
      <c r="V226" s="25"/>
      <c r="W226" s="25"/>
    </row>
    <row r="227" spans="3:23" x14ac:dyDescent="0.2">
      <c r="C227" s="25"/>
      <c r="D227" s="25"/>
      <c r="E227" s="25" t="s">
        <v>329</v>
      </c>
      <c r="F227" s="25">
        <v>680</v>
      </c>
      <c r="G227" s="25"/>
      <c r="H227" s="25"/>
      <c r="I227" s="25"/>
      <c r="J227" s="25" t="s">
        <v>330</v>
      </c>
      <c r="K227" s="24">
        <v>0</v>
      </c>
      <c r="L227" s="25"/>
      <c r="M227" s="25"/>
      <c r="S227" s="25"/>
      <c r="T227" s="25"/>
      <c r="U227" s="25"/>
      <c r="V227" s="25"/>
      <c r="W227" s="25"/>
    </row>
    <row r="228" spans="3:23" x14ac:dyDescent="0.2">
      <c r="C228" s="25"/>
      <c r="D228" s="25"/>
      <c r="E228" s="25"/>
      <c r="F228" s="25"/>
      <c r="G228" s="25"/>
      <c r="H228" s="25"/>
      <c r="I228" s="25"/>
      <c r="J228" s="25" t="s">
        <v>331</v>
      </c>
      <c r="K228" s="24">
        <v>0</v>
      </c>
      <c r="L228" s="25"/>
      <c r="M228" s="25"/>
      <c r="S228" s="25"/>
      <c r="T228" s="25"/>
      <c r="U228" s="25"/>
      <c r="V228" s="25"/>
      <c r="W228" s="25"/>
    </row>
    <row r="229" spans="3:23" x14ac:dyDescent="0.2">
      <c r="C229" s="25"/>
      <c r="D229" s="25"/>
      <c r="E229" s="25"/>
      <c r="F229" s="25"/>
      <c r="G229" s="25"/>
      <c r="H229" s="25"/>
      <c r="I229" s="25"/>
      <c r="J229" s="25" t="s">
        <v>332</v>
      </c>
      <c r="K229" s="24">
        <v>0</v>
      </c>
      <c r="L229" s="25"/>
      <c r="M229" s="25"/>
      <c r="S229" s="25"/>
      <c r="T229" s="25"/>
      <c r="U229" s="25"/>
      <c r="V229" s="25"/>
      <c r="W229" s="25"/>
    </row>
    <row r="230" spans="3:23" x14ac:dyDescent="0.2">
      <c r="C230" s="25"/>
      <c r="D230" s="25"/>
      <c r="E230" s="25"/>
      <c r="F230" s="25"/>
      <c r="G230" s="25"/>
      <c r="H230" s="25"/>
      <c r="I230" s="25"/>
      <c r="J230" s="25" t="s">
        <v>333</v>
      </c>
      <c r="K230" s="24">
        <v>0</v>
      </c>
      <c r="L230" s="25"/>
      <c r="M230" s="25"/>
      <c r="S230" s="25"/>
      <c r="T230" s="25"/>
      <c r="U230" s="25"/>
      <c r="V230" s="25"/>
      <c r="W230" s="25"/>
    </row>
    <row r="231" spans="3:23" x14ac:dyDescent="0.2">
      <c r="C231" s="25"/>
      <c r="D231" s="25"/>
      <c r="E231" s="25"/>
      <c r="F231" s="25"/>
      <c r="G231" s="25"/>
      <c r="H231" s="25"/>
      <c r="I231" s="25"/>
      <c r="J231" s="25" t="s">
        <v>334</v>
      </c>
      <c r="K231" s="24">
        <v>1400</v>
      </c>
      <c r="L231" s="25"/>
      <c r="M231" s="25"/>
      <c r="S231" s="25"/>
      <c r="T231" s="25"/>
      <c r="U231" s="25"/>
      <c r="V231" s="25"/>
      <c r="W231" s="25"/>
    </row>
    <row r="232" spans="3:23" x14ac:dyDescent="0.2"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S232" s="25"/>
      <c r="T232" s="25"/>
      <c r="U232" s="25"/>
      <c r="V232" s="25"/>
      <c r="W232" s="25"/>
    </row>
    <row r="233" spans="3:23" x14ac:dyDescent="0.2">
      <c r="C233" s="25">
        <v>24</v>
      </c>
      <c r="D233" s="25">
        <v>23</v>
      </c>
      <c r="E233" s="25" t="s">
        <v>329</v>
      </c>
      <c r="F233" s="24">
        <v>600</v>
      </c>
      <c r="G233" s="25"/>
      <c r="H233" s="25"/>
      <c r="I233" s="25"/>
      <c r="J233" s="25" t="s">
        <v>330</v>
      </c>
      <c r="K233" s="25">
        <v>0</v>
      </c>
      <c r="L233" s="25"/>
      <c r="M233" s="25"/>
      <c r="S233" s="25"/>
      <c r="T233" s="25"/>
      <c r="U233" s="25"/>
      <c r="V233" s="25"/>
      <c r="W233" s="25"/>
    </row>
    <row r="234" spans="3:23" x14ac:dyDescent="0.2">
      <c r="C234" s="25"/>
      <c r="D234" s="25"/>
      <c r="E234" s="25"/>
      <c r="F234" s="25"/>
      <c r="G234" s="25"/>
      <c r="H234" s="25"/>
      <c r="I234" s="25"/>
      <c r="J234" s="25" t="s">
        <v>331</v>
      </c>
      <c r="K234" s="25">
        <v>0</v>
      </c>
      <c r="L234" s="25"/>
      <c r="M234" s="25"/>
      <c r="S234" s="25"/>
      <c r="T234" s="25"/>
      <c r="U234" s="25"/>
      <c r="V234" s="25"/>
      <c r="W234" s="25"/>
    </row>
    <row r="235" spans="3:23" x14ac:dyDescent="0.2">
      <c r="C235" s="25"/>
      <c r="D235" s="25"/>
      <c r="E235" s="25"/>
      <c r="F235" s="25"/>
      <c r="G235" s="25"/>
      <c r="H235" s="25"/>
      <c r="I235" s="25"/>
      <c r="J235" s="25" t="s">
        <v>332</v>
      </c>
      <c r="K235" s="25">
        <v>0</v>
      </c>
      <c r="L235" s="25"/>
      <c r="M235" s="25"/>
      <c r="S235" s="25"/>
      <c r="T235" s="25"/>
      <c r="U235" s="25"/>
      <c r="V235" s="25"/>
      <c r="W235" s="25"/>
    </row>
    <row r="236" spans="3:23" x14ac:dyDescent="0.2">
      <c r="C236" s="25"/>
      <c r="D236" s="25"/>
      <c r="E236" s="25"/>
      <c r="F236" s="25"/>
      <c r="G236" s="25"/>
      <c r="H236" s="25"/>
      <c r="I236" s="25"/>
      <c r="J236" s="25" t="s">
        <v>333</v>
      </c>
      <c r="K236" s="25">
        <v>0</v>
      </c>
      <c r="L236" s="25"/>
      <c r="M236" s="25"/>
      <c r="S236" s="25"/>
      <c r="T236" s="25"/>
      <c r="U236" s="25"/>
      <c r="V236" s="25"/>
      <c r="W236" s="25"/>
    </row>
    <row r="237" spans="3:23" x14ac:dyDescent="0.2">
      <c r="C237" s="25"/>
      <c r="D237" s="25"/>
      <c r="E237" s="25"/>
      <c r="F237" s="25"/>
      <c r="G237" s="25"/>
      <c r="H237" s="25"/>
      <c r="I237" s="25"/>
      <c r="J237" s="25" t="s">
        <v>334</v>
      </c>
      <c r="K237" s="25">
        <v>1400</v>
      </c>
      <c r="L237" s="25"/>
      <c r="M237" s="25"/>
      <c r="S237" s="25"/>
      <c r="T237" s="25"/>
      <c r="U237" s="25"/>
      <c r="V237" s="25"/>
      <c r="W237" s="25"/>
    </row>
    <row r="238" spans="3:23" x14ac:dyDescent="0.2"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S238" s="25"/>
      <c r="T238" s="25"/>
      <c r="U238" s="25"/>
      <c r="V238" s="25"/>
      <c r="W238" s="25"/>
    </row>
    <row r="239" spans="3:23" x14ac:dyDescent="0.2">
      <c r="C239" s="25">
        <v>25</v>
      </c>
      <c r="D239" s="25">
        <v>24</v>
      </c>
      <c r="E239" s="25" t="s">
        <v>329</v>
      </c>
      <c r="F239" s="24">
        <v>520</v>
      </c>
      <c r="G239" s="25"/>
      <c r="H239" s="25"/>
      <c r="I239" s="25"/>
      <c r="J239" s="25" t="s">
        <v>330</v>
      </c>
      <c r="K239" s="25">
        <v>0</v>
      </c>
      <c r="L239" s="25"/>
      <c r="M239" s="25"/>
      <c r="S239" s="25"/>
      <c r="T239" s="25"/>
      <c r="U239" s="25"/>
      <c r="V239" s="25"/>
      <c r="W239" s="25"/>
    </row>
    <row r="240" spans="3:23" x14ac:dyDescent="0.2">
      <c r="C240" s="25"/>
      <c r="D240" s="25"/>
      <c r="E240" s="25"/>
      <c r="F240" s="25"/>
      <c r="G240" s="25"/>
      <c r="H240" s="25"/>
      <c r="I240" s="25"/>
      <c r="J240" s="25" t="s">
        <v>331</v>
      </c>
      <c r="K240" s="25">
        <v>0</v>
      </c>
      <c r="L240" s="25"/>
      <c r="M240" s="25"/>
      <c r="S240" s="25"/>
      <c r="T240" s="25"/>
      <c r="U240" s="25"/>
      <c r="V240" s="25"/>
      <c r="W240" s="25"/>
    </row>
    <row r="241" spans="3:23" x14ac:dyDescent="0.2">
      <c r="C241" s="25"/>
      <c r="D241" s="25"/>
      <c r="E241" s="25"/>
      <c r="F241" s="25"/>
      <c r="G241" s="25"/>
      <c r="H241" s="25"/>
      <c r="I241" s="25"/>
      <c r="J241" s="25" t="s">
        <v>332</v>
      </c>
      <c r="K241" s="25">
        <v>0</v>
      </c>
      <c r="L241" s="25"/>
      <c r="M241" s="25"/>
      <c r="S241" s="25"/>
      <c r="T241" s="25"/>
      <c r="U241" s="25"/>
      <c r="V241" s="25"/>
      <c r="W241" s="25"/>
    </row>
    <row r="242" spans="3:23" x14ac:dyDescent="0.2">
      <c r="C242" s="25"/>
      <c r="D242" s="25"/>
      <c r="E242" s="25"/>
      <c r="F242" s="25"/>
      <c r="G242" s="25"/>
      <c r="H242" s="25"/>
      <c r="I242" s="25"/>
      <c r="J242" s="25" t="s">
        <v>333</v>
      </c>
      <c r="K242" s="25">
        <v>0</v>
      </c>
      <c r="L242" s="25"/>
      <c r="M242" s="25"/>
      <c r="S242" s="25"/>
      <c r="T242" s="25"/>
      <c r="U242" s="25"/>
      <c r="V242" s="25"/>
      <c r="W242" s="25"/>
    </row>
    <row r="243" spans="3:23" x14ac:dyDescent="0.2">
      <c r="C243" s="25"/>
      <c r="D243" s="25"/>
      <c r="E243" s="25"/>
      <c r="F243" s="25"/>
      <c r="G243" s="25"/>
      <c r="H243" s="25"/>
      <c r="I243" s="25"/>
      <c r="J243" s="25" t="s">
        <v>334</v>
      </c>
      <c r="K243" s="25">
        <v>1400</v>
      </c>
      <c r="L243" s="25"/>
      <c r="M243" s="25"/>
      <c r="S243" s="25"/>
      <c r="T243" s="25"/>
      <c r="U243" s="25"/>
      <c r="V243" s="25"/>
      <c r="W243" s="25"/>
    </row>
    <row r="244" spans="3:23" x14ac:dyDescent="0.2"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S244" s="25"/>
      <c r="T244" s="25"/>
      <c r="U244" s="25"/>
      <c r="V244" s="25"/>
      <c r="W244" s="25"/>
    </row>
    <row r="245" spans="3:23" x14ac:dyDescent="0.2">
      <c r="C245" s="25"/>
      <c r="D245" s="25"/>
      <c r="E245" s="25" t="s">
        <v>329</v>
      </c>
      <c r="F245" s="25">
        <v>520</v>
      </c>
      <c r="G245" s="25"/>
      <c r="H245" s="25"/>
      <c r="I245" s="25"/>
      <c r="J245" s="25" t="s">
        <v>330</v>
      </c>
      <c r="K245" s="24">
        <v>0</v>
      </c>
      <c r="L245" s="25"/>
      <c r="M245" s="25"/>
      <c r="S245" s="25"/>
      <c r="T245" s="25"/>
      <c r="U245" s="25"/>
      <c r="V245" s="25"/>
      <c r="W245" s="25"/>
    </row>
    <row r="246" spans="3:23" x14ac:dyDescent="0.2">
      <c r="C246" s="25"/>
      <c r="D246" s="25"/>
      <c r="E246" s="25"/>
      <c r="F246" s="25"/>
      <c r="G246" s="25"/>
      <c r="H246" s="25"/>
      <c r="I246" s="25"/>
      <c r="J246" s="25" t="s">
        <v>331</v>
      </c>
      <c r="K246" s="24">
        <v>0</v>
      </c>
      <c r="L246" s="25"/>
      <c r="M246" s="25"/>
      <c r="S246" s="25"/>
      <c r="T246" s="25"/>
      <c r="U246" s="25"/>
      <c r="V246" s="25"/>
      <c r="W246" s="25"/>
    </row>
    <row r="247" spans="3:23" x14ac:dyDescent="0.2">
      <c r="C247" s="25"/>
      <c r="D247" s="25"/>
      <c r="E247" s="25"/>
      <c r="F247" s="25"/>
      <c r="G247" s="25"/>
      <c r="H247" s="25"/>
      <c r="I247" s="25"/>
      <c r="J247" s="25" t="s">
        <v>332</v>
      </c>
      <c r="K247" s="24">
        <v>0</v>
      </c>
      <c r="L247" s="25"/>
      <c r="M247" s="25"/>
      <c r="S247" s="25"/>
      <c r="T247" s="25"/>
      <c r="U247" s="25"/>
      <c r="V247" s="25"/>
      <c r="W247" s="25"/>
    </row>
    <row r="248" spans="3:23" x14ac:dyDescent="0.2">
      <c r="C248" s="25"/>
      <c r="D248" s="25"/>
      <c r="E248" s="25"/>
      <c r="F248" s="25"/>
      <c r="G248" s="25"/>
      <c r="H248" s="25"/>
      <c r="I248" s="25"/>
      <c r="J248" s="25" t="s">
        <v>333</v>
      </c>
      <c r="K248" s="24">
        <v>0</v>
      </c>
      <c r="L248" s="25"/>
      <c r="M248" s="25"/>
      <c r="S248" s="25"/>
      <c r="T248" s="25"/>
      <c r="U248" s="25"/>
      <c r="V248" s="25"/>
      <c r="W248" s="25"/>
    </row>
    <row r="249" spans="3:23" x14ac:dyDescent="0.2">
      <c r="C249" s="25"/>
      <c r="D249" s="25"/>
      <c r="E249" s="25"/>
      <c r="F249" s="25"/>
      <c r="G249" s="25"/>
      <c r="H249" s="25"/>
      <c r="I249" s="25"/>
      <c r="J249" s="25" t="s">
        <v>334</v>
      </c>
      <c r="K249" s="24">
        <v>925</v>
      </c>
      <c r="L249" s="25"/>
      <c r="M249" s="25"/>
      <c r="S249" s="25"/>
      <c r="T249" s="25"/>
      <c r="U249" s="25"/>
      <c r="V249" s="25"/>
      <c r="W249" s="25"/>
    </row>
    <row r="250" spans="3:23" x14ac:dyDescent="0.2"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S250" s="25"/>
      <c r="T250" s="25"/>
      <c r="U250" s="25"/>
      <c r="V250" s="25"/>
      <c r="W250" s="25"/>
    </row>
    <row r="251" spans="3:23" x14ac:dyDescent="0.2">
      <c r="C251" s="25">
        <v>26</v>
      </c>
      <c r="D251" s="25">
        <v>25</v>
      </c>
      <c r="E251" s="25" t="s">
        <v>329</v>
      </c>
      <c r="F251" s="24">
        <v>440</v>
      </c>
      <c r="G251" s="25"/>
      <c r="H251" s="25"/>
      <c r="I251" s="25"/>
      <c r="J251" s="25" t="s">
        <v>330</v>
      </c>
      <c r="K251" s="25">
        <v>0</v>
      </c>
      <c r="L251" s="25"/>
      <c r="M251" s="25"/>
      <c r="S251" s="25"/>
      <c r="T251" s="25"/>
      <c r="U251" s="25"/>
      <c r="V251" s="25"/>
      <c r="W251" s="25"/>
    </row>
    <row r="252" spans="3:23" x14ac:dyDescent="0.2">
      <c r="C252" s="25"/>
      <c r="D252" s="25"/>
      <c r="E252" s="25"/>
      <c r="F252" s="25"/>
      <c r="G252" s="25"/>
      <c r="H252" s="25"/>
      <c r="I252" s="25"/>
      <c r="J252" s="25" t="s">
        <v>331</v>
      </c>
      <c r="K252" s="25">
        <v>0</v>
      </c>
      <c r="L252" s="25"/>
      <c r="M252" s="25"/>
      <c r="S252" s="25"/>
      <c r="T252" s="25"/>
      <c r="U252" s="25"/>
      <c r="V252" s="25"/>
      <c r="W252" s="25"/>
    </row>
    <row r="253" spans="3:23" x14ac:dyDescent="0.2">
      <c r="C253" s="25"/>
      <c r="D253" s="25"/>
      <c r="E253" s="25"/>
      <c r="F253" s="25"/>
      <c r="G253" s="25"/>
      <c r="H253" s="25"/>
      <c r="I253" s="25"/>
      <c r="J253" s="25" t="s">
        <v>332</v>
      </c>
      <c r="K253" s="25">
        <v>0</v>
      </c>
      <c r="L253" s="25"/>
      <c r="M253" s="25"/>
      <c r="S253" s="25"/>
      <c r="T253" s="25"/>
      <c r="U253" s="25"/>
      <c r="V253" s="25"/>
      <c r="W253" s="25"/>
    </row>
    <row r="254" spans="3:23" x14ac:dyDescent="0.2">
      <c r="C254" s="25"/>
      <c r="D254" s="25"/>
      <c r="E254" s="25"/>
      <c r="F254" s="25"/>
      <c r="G254" s="25"/>
      <c r="H254" s="25"/>
      <c r="I254" s="25"/>
      <c r="J254" s="25" t="s">
        <v>333</v>
      </c>
      <c r="K254" s="25">
        <v>0</v>
      </c>
      <c r="L254" s="25"/>
      <c r="M254" s="25"/>
      <c r="S254" s="25"/>
      <c r="T254" s="25"/>
      <c r="U254" s="25"/>
      <c r="V254" s="25"/>
      <c r="W254" s="25"/>
    </row>
    <row r="255" spans="3:23" x14ac:dyDescent="0.2">
      <c r="C255" s="25"/>
      <c r="D255" s="25"/>
      <c r="E255" s="25"/>
      <c r="F255" s="25"/>
      <c r="G255" s="25"/>
      <c r="H255" s="25"/>
      <c r="I255" s="25"/>
      <c r="J255" s="25" t="s">
        <v>334</v>
      </c>
      <c r="K255" s="25">
        <v>925</v>
      </c>
      <c r="L255" s="25"/>
      <c r="M255" s="25"/>
      <c r="S255" s="25"/>
      <c r="T255" s="25"/>
      <c r="U255" s="25"/>
      <c r="V255" s="25"/>
      <c r="W255" s="25"/>
    </row>
    <row r="256" spans="3:23" x14ac:dyDescent="0.2"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S256" s="25"/>
      <c r="T256" s="25"/>
      <c r="U256" s="25"/>
      <c r="V256" s="25"/>
      <c r="W256" s="25"/>
    </row>
    <row r="257" spans="3:23" x14ac:dyDescent="0.2">
      <c r="C257" s="25">
        <v>27</v>
      </c>
      <c r="D257" s="25">
        <v>26</v>
      </c>
      <c r="E257" s="25" t="s">
        <v>329</v>
      </c>
      <c r="F257" s="24">
        <v>360</v>
      </c>
      <c r="G257" s="25"/>
      <c r="H257" s="25"/>
      <c r="I257" s="25"/>
      <c r="J257" s="25" t="s">
        <v>330</v>
      </c>
      <c r="K257" s="25">
        <v>0</v>
      </c>
      <c r="L257" s="25"/>
      <c r="M257" s="25"/>
      <c r="S257" s="25"/>
      <c r="T257" s="25"/>
      <c r="U257" s="25"/>
      <c r="V257" s="25"/>
      <c r="W257" s="25"/>
    </row>
    <row r="258" spans="3:23" x14ac:dyDescent="0.2">
      <c r="C258" s="25"/>
      <c r="D258" s="25"/>
      <c r="E258" s="25"/>
      <c r="F258" s="25"/>
      <c r="G258" s="25"/>
      <c r="H258" s="25"/>
      <c r="I258" s="25"/>
      <c r="J258" s="25" t="s">
        <v>331</v>
      </c>
      <c r="K258" s="25">
        <v>0</v>
      </c>
      <c r="L258" s="25"/>
      <c r="M258" s="25"/>
      <c r="S258" s="25"/>
      <c r="T258" s="25"/>
      <c r="U258" s="25"/>
      <c r="V258" s="25"/>
      <c r="W258" s="25"/>
    </row>
    <row r="259" spans="3:23" x14ac:dyDescent="0.2">
      <c r="C259" s="25"/>
      <c r="D259" s="25"/>
      <c r="E259" s="25"/>
      <c r="F259" s="25"/>
      <c r="G259" s="25"/>
      <c r="H259" s="25"/>
      <c r="I259" s="25"/>
      <c r="J259" s="25" t="s">
        <v>332</v>
      </c>
      <c r="K259" s="25">
        <v>0</v>
      </c>
      <c r="L259" s="25"/>
      <c r="M259" s="25"/>
      <c r="S259" s="25"/>
      <c r="T259" s="25"/>
      <c r="U259" s="25"/>
      <c r="V259" s="25"/>
      <c r="W259" s="25"/>
    </row>
    <row r="260" spans="3:23" x14ac:dyDescent="0.2">
      <c r="C260" s="25"/>
      <c r="D260" s="25"/>
      <c r="E260" s="25"/>
      <c r="F260" s="25"/>
      <c r="G260" s="25"/>
      <c r="H260" s="25"/>
      <c r="I260" s="25"/>
      <c r="J260" s="25" t="s">
        <v>333</v>
      </c>
      <c r="K260" s="25">
        <v>0</v>
      </c>
      <c r="L260" s="25"/>
      <c r="M260" s="25"/>
      <c r="S260" s="25"/>
      <c r="T260" s="25"/>
      <c r="U260" s="25"/>
      <c r="V260" s="25"/>
      <c r="W260" s="25"/>
    </row>
    <row r="261" spans="3:23" x14ac:dyDescent="0.2">
      <c r="C261" s="25"/>
      <c r="D261" s="25"/>
      <c r="E261" s="25"/>
      <c r="F261" s="25"/>
      <c r="G261" s="25"/>
      <c r="H261" s="25"/>
      <c r="I261" s="25"/>
      <c r="J261" s="25" t="s">
        <v>334</v>
      </c>
      <c r="K261" s="25">
        <v>925</v>
      </c>
      <c r="L261" s="25"/>
      <c r="M261" s="25"/>
      <c r="S261" s="25"/>
      <c r="T261" s="25"/>
      <c r="U261" s="25"/>
      <c r="V261" s="25"/>
      <c r="W261" s="25"/>
    </row>
    <row r="262" spans="3:23" x14ac:dyDescent="0.2"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S262" s="25"/>
      <c r="T262" s="25"/>
      <c r="U262" s="25"/>
      <c r="V262" s="25"/>
      <c r="W262" s="25"/>
    </row>
    <row r="263" spans="3:23" x14ac:dyDescent="0.2">
      <c r="C263" s="25"/>
      <c r="D263" s="25"/>
      <c r="E263" s="25" t="s">
        <v>329</v>
      </c>
      <c r="F263" s="25">
        <v>360</v>
      </c>
      <c r="G263" s="25"/>
      <c r="H263" s="25"/>
      <c r="I263" s="25"/>
      <c r="J263" s="25" t="s">
        <v>330</v>
      </c>
      <c r="K263" s="24">
        <v>0</v>
      </c>
      <c r="L263" s="25"/>
      <c r="M263" s="25"/>
      <c r="S263" s="25"/>
      <c r="T263" s="25"/>
      <c r="U263" s="25"/>
      <c r="V263" s="25"/>
      <c r="W263" s="25"/>
    </row>
    <row r="264" spans="3:23" x14ac:dyDescent="0.2">
      <c r="C264" s="25"/>
      <c r="D264" s="25"/>
      <c r="E264" s="25"/>
      <c r="F264" s="25"/>
      <c r="G264" s="25"/>
      <c r="H264" s="25"/>
      <c r="I264" s="25"/>
      <c r="J264" s="25" t="s">
        <v>331</v>
      </c>
      <c r="K264" s="24">
        <v>0</v>
      </c>
      <c r="L264" s="25"/>
      <c r="M264" s="25"/>
      <c r="S264" s="25"/>
      <c r="T264" s="25"/>
      <c r="U264" s="25"/>
      <c r="V264" s="25"/>
      <c r="W264" s="25"/>
    </row>
    <row r="265" spans="3:23" x14ac:dyDescent="0.2">
      <c r="C265" s="25"/>
      <c r="D265" s="25"/>
      <c r="E265" s="25"/>
      <c r="F265" s="25"/>
      <c r="G265" s="25"/>
      <c r="H265" s="25"/>
      <c r="I265" s="25"/>
      <c r="J265" s="25" t="s">
        <v>332</v>
      </c>
      <c r="K265" s="24">
        <v>0</v>
      </c>
      <c r="L265" s="25"/>
      <c r="M265" s="25"/>
      <c r="S265" s="25"/>
      <c r="T265" s="25"/>
      <c r="U265" s="25"/>
      <c r="V265" s="25"/>
      <c r="W265" s="25"/>
    </row>
    <row r="266" spans="3:23" x14ac:dyDescent="0.2">
      <c r="C266" s="25"/>
      <c r="D266" s="25"/>
      <c r="E266" s="25"/>
      <c r="F266" s="25"/>
      <c r="G266" s="25"/>
      <c r="H266" s="25"/>
      <c r="I266" s="25"/>
      <c r="J266" s="25" t="s">
        <v>333</v>
      </c>
      <c r="K266" s="24">
        <v>0</v>
      </c>
      <c r="L266" s="25"/>
      <c r="M266" s="25"/>
      <c r="S266" s="25"/>
      <c r="T266" s="25"/>
      <c r="U266" s="25"/>
      <c r="V266" s="25"/>
      <c r="W266" s="25"/>
    </row>
    <row r="267" spans="3:23" x14ac:dyDescent="0.2">
      <c r="C267" s="25"/>
      <c r="D267" s="25"/>
      <c r="E267" s="25"/>
      <c r="F267" s="25"/>
      <c r="G267" s="25"/>
      <c r="H267" s="25"/>
      <c r="I267" s="25"/>
      <c r="J267" s="25" t="s">
        <v>334</v>
      </c>
      <c r="K267" s="24">
        <v>450</v>
      </c>
      <c r="L267" s="25"/>
      <c r="M267" s="25"/>
      <c r="S267" s="25"/>
      <c r="T267" s="25"/>
      <c r="U267" s="25"/>
      <c r="V267" s="25"/>
      <c r="W267" s="25"/>
    </row>
    <row r="268" spans="3:23" x14ac:dyDescent="0.2"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S268" s="25"/>
      <c r="T268" s="25"/>
      <c r="U268" s="25"/>
      <c r="V268" s="25"/>
      <c r="W268" s="25"/>
    </row>
    <row r="269" spans="3:23" x14ac:dyDescent="0.2">
      <c r="C269" s="25">
        <v>28</v>
      </c>
      <c r="D269" s="25">
        <v>27</v>
      </c>
      <c r="E269" s="25" t="s">
        <v>329</v>
      </c>
      <c r="F269" s="24">
        <v>280</v>
      </c>
      <c r="G269" s="25"/>
      <c r="H269" s="25"/>
      <c r="I269" s="25"/>
      <c r="J269" s="25" t="s">
        <v>330</v>
      </c>
      <c r="K269" s="25">
        <v>0</v>
      </c>
      <c r="L269" s="25"/>
      <c r="M269" s="25"/>
      <c r="S269" s="25"/>
      <c r="T269" s="25"/>
      <c r="U269" s="25"/>
      <c r="V269" s="25"/>
      <c r="W269" s="25"/>
    </row>
    <row r="270" spans="3:23" x14ac:dyDescent="0.2">
      <c r="C270" s="25"/>
      <c r="D270" s="25"/>
      <c r="E270" s="25"/>
      <c r="F270" s="25"/>
      <c r="G270" s="25"/>
      <c r="H270" s="25"/>
      <c r="I270" s="25"/>
      <c r="J270" s="25" t="s">
        <v>331</v>
      </c>
      <c r="K270" s="25">
        <v>0</v>
      </c>
      <c r="L270" s="25"/>
      <c r="M270" s="25"/>
      <c r="S270" s="25"/>
      <c r="T270" s="25"/>
      <c r="U270" s="25"/>
      <c r="V270" s="25"/>
      <c r="W270" s="25"/>
    </row>
    <row r="271" spans="3:23" x14ac:dyDescent="0.2">
      <c r="C271" s="25"/>
      <c r="D271" s="25"/>
      <c r="E271" s="25"/>
      <c r="F271" s="25"/>
      <c r="G271" s="25"/>
      <c r="H271" s="25"/>
      <c r="I271" s="25"/>
      <c r="J271" s="25" t="s">
        <v>332</v>
      </c>
      <c r="K271" s="25">
        <v>0</v>
      </c>
      <c r="L271" s="25"/>
      <c r="M271" s="25"/>
      <c r="S271" s="25"/>
      <c r="T271" s="25"/>
      <c r="U271" s="25"/>
      <c r="V271" s="25"/>
      <c r="W271" s="25"/>
    </row>
    <row r="272" spans="3:23" x14ac:dyDescent="0.2">
      <c r="C272" s="25"/>
      <c r="D272" s="25"/>
      <c r="E272" s="25"/>
      <c r="F272" s="25"/>
      <c r="G272" s="25"/>
      <c r="H272" s="25"/>
      <c r="I272" s="25"/>
      <c r="J272" s="25" t="s">
        <v>333</v>
      </c>
      <c r="K272" s="25">
        <v>0</v>
      </c>
      <c r="L272" s="25"/>
      <c r="M272" s="25"/>
      <c r="S272" s="25"/>
      <c r="T272" s="25"/>
      <c r="U272" s="25"/>
      <c r="V272" s="25"/>
      <c r="W272" s="25"/>
    </row>
    <row r="273" spans="3:23" x14ac:dyDescent="0.2">
      <c r="C273" s="25"/>
      <c r="D273" s="25"/>
      <c r="E273" s="25"/>
      <c r="F273" s="25"/>
      <c r="G273" s="25"/>
      <c r="H273" s="25"/>
      <c r="I273" s="25"/>
      <c r="J273" s="25" t="s">
        <v>334</v>
      </c>
      <c r="K273" s="25">
        <v>450</v>
      </c>
      <c r="L273" s="25"/>
      <c r="M273" s="25"/>
      <c r="S273" s="25"/>
      <c r="T273" s="25"/>
      <c r="U273" s="25"/>
      <c r="V273" s="25"/>
      <c r="W273" s="25"/>
    </row>
    <row r="274" spans="3:23" x14ac:dyDescent="0.2"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S274" s="25"/>
      <c r="T274" s="25"/>
      <c r="U274" s="25"/>
      <c r="V274" s="25"/>
      <c r="W274" s="25"/>
    </row>
    <row r="275" spans="3:23" x14ac:dyDescent="0.2">
      <c r="C275" s="25">
        <v>29</v>
      </c>
      <c r="D275" s="25">
        <v>28</v>
      </c>
      <c r="E275" s="25" t="s">
        <v>329</v>
      </c>
      <c r="F275" s="24">
        <v>200</v>
      </c>
      <c r="G275" s="25"/>
      <c r="H275" s="25"/>
      <c r="I275" s="25"/>
      <c r="J275" s="25" t="s">
        <v>330</v>
      </c>
      <c r="K275" s="25">
        <v>0</v>
      </c>
      <c r="L275" s="25"/>
      <c r="M275" s="25"/>
      <c r="S275" s="25"/>
      <c r="T275" s="25"/>
      <c r="U275" s="25"/>
      <c r="V275" s="25"/>
      <c r="W275" s="25"/>
    </row>
    <row r="276" spans="3:23" x14ac:dyDescent="0.2">
      <c r="C276" s="25"/>
      <c r="D276" s="25"/>
      <c r="E276" s="25"/>
      <c r="F276" s="25"/>
      <c r="G276" s="25"/>
      <c r="H276" s="25"/>
      <c r="I276" s="25"/>
      <c r="J276" s="25" t="s">
        <v>331</v>
      </c>
      <c r="K276" s="25">
        <v>0</v>
      </c>
      <c r="L276" s="25"/>
      <c r="M276" s="25"/>
      <c r="S276" s="25"/>
      <c r="T276" s="25"/>
      <c r="U276" s="25"/>
      <c r="V276" s="25"/>
      <c r="W276" s="25"/>
    </row>
    <row r="277" spans="3:23" x14ac:dyDescent="0.2">
      <c r="C277" s="25"/>
      <c r="D277" s="25"/>
      <c r="E277" s="25"/>
      <c r="F277" s="25"/>
      <c r="G277" s="25"/>
      <c r="H277" s="25"/>
      <c r="I277" s="25"/>
      <c r="J277" s="25" t="s">
        <v>332</v>
      </c>
      <c r="K277" s="25">
        <v>0</v>
      </c>
      <c r="L277" s="25"/>
      <c r="M277" s="25"/>
      <c r="S277" s="25"/>
      <c r="T277" s="25"/>
      <c r="U277" s="25"/>
      <c r="V277" s="25"/>
      <c r="W277" s="25"/>
    </row>
    <row r="278" spans="3:23" x14ac:dyDescent="0.2">
      <c r="C278" s="25"/>
      <c r="D278" s="25"/>
      <c r="E278" s="25"/>
      <c r="F278" s="25"/>
      <c r="G278" s="25"/>
      <c r="H278" s="25"/>
      <c r="I278" s="25"/>
      <c r="J278" s="25" t="s">
        <v>333</v>
      </c>
      <c r="K278" s="25">
        <v>0</v>
      </c>
      <c r="L278" s="25"/>
      <c r="M278" s="25"/>
      <c r="S278" s="25"/>
      <c r="T278" s="25"/>
      <c r="U278" s="25"/>
      <c r="V278" s="25"/>
      <c r="W278" s="25"/>
    </row>
    <row r="279" spans="3:23" x14ac:dyDescent="0.2">
      <c r="C279" s="25"/>
      <c r="D279" s="25"/>
      <c r="E279" s="25"/>
      <c r="F279" s="25"/>
      <c r="G279" s="25"/>
      <c r="H279" s="25"/>
      <c r="I279" s="25"/>
      <c r="J279" s="25" t="s">
        <v>334</v>
      </c>
      <c r="K279" s="25">
        <v>450</v>
      </c>
      <c r="L279" s="25"/>
      <c r="M279" s="25"/>
      <c r="S279" s="25"/>
      <c r="T279" s="25"/>
      <c r="U279" s="25"/>
      <c r="V279" s="25"/>
      <c r="W279" s="25"/>
    </row>
    <row r="280" spans="3:23" x14ac:dyDescent="0.2"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S280" s="25"/>
      <c r="T280" s="25"/>
      <c r="U280" s="25"/>
      <c r="V280" s="25"/>
      <c r="W280" s="25"/>
    </row>
    <row r="281" spans="3:23" x14ac:dyDescent="0.2">
      <c r="C281" s="25"/>
      <c r="D281" s="25"/>
      <c r="E281" s="25" t="s">
        <v>329</v>
      </c>
      <c r="F281" s="25">
        <v>200</v>
      </c>
      <c r="G281" s="25"/>
      <c r="H281" s="25"/>
      <c r="I281" s="25"/>
      <c r="J281" s="25" t="s">
        <v>330</v>
      </c>
      <c r="K281" s="24">
        <v>0</v>
      </c>
      <c r="L281" s="25"/>
      <c r="M281" s="25"/>
      <c r="S281" s="25"/>
      <c r="T281" s="25"/>
      <c r="U281" s="25"/>
      <c r="V281" s="25"/>
      <c r="W281" s="25"/>
    </row>
    <row r="282" spans="3:23" x14ac:dyDescent="0.2">
      <c r="C282" s="25"/>
      <c r="D282" s="25"/>
      <c r="E282" s="25"/>
      <c r="F282" s="25"/>
      <c r="G282" s="25"/>
      <c r="H282" s="25"/>
      <c r="I282" s="25"/>
      <c r="J282" s="25" t="s">
        <v>331</v>
      </c>
      <c r="K282" s="24">
        <v>0</v>
      </c>
      <c r="L282" s="25"/>
      <c r="M282" s="25"/>
      <c r="S282" s="25"/>
      <c r="T282" s="25"/>
      <c r="U282" s="25"/>
      <c r="V282" s="25"/>
      <c r="W282" s="25"/>
    </row>
    <row r="283" spans="3:23" x14ac:dyDescent="0.2">
      <c r="C283" s="25"/>
      <c r="D283" s="25"/>
      <c r="E283" s="25"/>
      <c r="F283" s="25"/>
      <c r="G283" s="25"/>
      <c r="H283" s="25"/>
      <c r="I283" s="25"/>
      <c r="J283" s="25" t="s">
        <v>332</v>
      </c>
      <c r="K283" s="24">
        <v>0</v>
      </c>
      <c r="L283" s="25"/>
      <c r="M283" s="25"/>
      <c r="S283" s="25"/>
      <c r="T283" s="25"/>
      <c r="U283" s="25"/>
      <c r="V283" s="25"/>
      <c r="W283" s="25"/>
    </row>
    <row r="284" spans="3:23" x14ac:dyDescent="0.2">
      <c r="C284" s="25"/>
      <c r="D284" s="25"/>
      <c r="E284" s="25"/>
      <c r="F284" s="25"/>
      <c r="G284" s="25"/>
      <c r="H284" s="25"/>
      <c r="I284" s="25"/>
      <c r="J284" s="25" t="s">
        <v>333</v>
      </c>
      <c r="K284" s="24">
        <v>0</v>
      </c>
      <c r="L284" s="25"/>
      <c r="M284" s="25"/>
      <c r="S284" s="25"/>
      <c r="T284" s="25"/>
      <c r="U284" s="25"/>
      <c r="V284" s="25"/>
      <c r="W284" s="25"/>
    </row>
    <row r="285" spans="3:23" x14ac:dyDescent="0.2">
      <c r="C285" s="25"/>
      <c r="D285" s="25"/>
      <c r="E285" s="25"/>
      <c r="F285" s="25"/>
      <c r="G285" s="25"/>
      <c r="H285" s="25"/>
      <c r="I285" s="25"/>
      <c r="J285" s="25" t="s">
        <v>334</v>
      </c>
      <c r="K285" s="24">
        <v>0</v>
      </c>
      <c r="L285" s="25"/>
      <c r="M285" s="25"/>
      <c r="S285" s="25"/>
      <c r="T285" s="25"/>
      <c r="U285" s="25"/>
      <c r="V285" s="25"/>
      <c r="W285" s="25"/>
    </row>
    <row r="286" spans="3:23" x14ac:dyDescent="0.2"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S286" s="25"/>
      <c r="T286" s="25"/>
      <c r="U286" s="25"/>
      <c r="V286" s="25"/>
      <c r="W286" s="25"/>
    </row>
    <row r="287" spans="3:23" x14ac:dyDescent="0.2"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S287" s="25"/>
      <c r="T287" s="25"/>
      <c r="U287" s="25"/>
      <c r="V287" s="25"/>
      <c r="W287" s="25"/>
    </row>
    <row r="288" spans="3:23" x14ac:dyDescent="0.2"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S288" s="25"/>
      <c r="T288" s="25"/>
      <c r="U288" s="25"/>
      <c r="V288" s="25"/>
      <c r="W288" s="25"/>
    </row>
    <row r="289" spans="3:23" x14ac:dyDescent="0.2"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S289" s="25"/>
      <c r="T289" s="25"/>
      <c r="U289" s="25"/>
      <c r="V289" s="25"/>
      <c r="W289" s="25"/>
    </row>
    <row r="290" spans="3:23" x14ac:dyDescent="0.2"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S290" s="25"/>
      <c r="T290" s="25"/>
      <c r="U290" s="25"/>
      <c r="V290" s="25"/>
      <c r="W290" s="25"/>
    </row>
    <row r="291" spans="3:23" x14ac:dyDescent="0.2"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S291" s="25"/>
      <c r="T291" s="25"/>
      <c r="U291" s="25"/>
      <c r="V291" s="25"/>
      <c r="W291" s="25"/>
    </row>
    <row r="292" spans="3:23" x14ac:dyDescent="0.2"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S292" s="25"/>
      <c r="T292" s="25"/>
      <c r="U292" s="25"/>
      <c r="V292" s="25"/>
      <c r="W292" s="25"/>
    </row>
    <row r="293" spans="3:23" x14ac:dyDescent="0.2"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S293" s="25"/>
      <c r="T293" s="25"/>
      <c r="U293" s="25"/>
      <c r="V293" s="25"/>
      <c r="W293" s="25"/>
    </row>
    <row r="294" spans="3:23" x14ac:dyDescent="0.2"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S294" s="25"/>
      <c r="T294" s="25"/>
      <c r="U294" s="25"/>
      <c r="V294" s="25"/>
      <c r="W294" s="25"/>
    </row>
    <row r="295" spans="3:23" x14ac:dyDescent="0.2"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S295" s="25"/>
      <c r="T295" s="25"/>
      <c r="U295" s="25"/>
      <c r="V295" s="25"/>
      <c r="W295" s="25"/>
    </row>
    <row r="296" spans="3:23" x14ac:dyDescent="0.2"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S296" s="25"/>
      <c r="T296" s="25"/>
      <c r="U296" s="25"/>
      <c r="V296" s="25"/>
      <c r="W296" s="25"/>
    </row>
    <row r="297" spans="3:23" x14ac:dyDescent="0.2"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S297" s="25"/>
      <c r="T297" s="25"/>
      <c r="U297" s="25"/>
      <c r="V297" s="25"/>
      <c r="W297" s="25"/>
    </row>
    <row r="298" spans="3:23" x14ac:dyDescent="0.2"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S298" s="25"/>
      <c r="T298" s="25"/>
      <c r="U298" s="25"/>
      <c r="V298" s="25"/>
      <c r="W298" s="25"/>
    </row>
    <row r="299" spans="3:23" x14ac:dyDescent="0.2"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S299" s="25"/>
      <c r="T299" s="25"/>
      <c r="U299" s="25"/>
      <c r="V299" s="25"/>
      <c r="W299" s="25"/>
    </row>
    <row r="300" spans="3:23" x14ac:dyDescent="0.2"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S300" s="25"/>
      <c r="T300" s="25"/>
      <c r="U300" s="25"/>
      <c r="V300" s="25"/>
      <c r="W300" s="25"/>
    </row>
    <row r="301" spans="3:23" x14ac:dyDescent="0.2"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S301" s="25"/>
      <c r="T301" s="25"/>
      <c r="U301" s="25"/>
      <c r="V301" s="25"/>
      <c r="W301" s="25"/>
    </row>
    <row r="302" spans="3:23" x14ac:dyDescent="0.2"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S302" s="25"/>
      <c r="T302" s="25"/>
      <c r="U302" s="25"/>
      <c r="V302" s="25"/>
      <c r="W302" s="25"/>
    </row>
    <row r="303" spans="3:23" x14ac:dyDescent="0.2"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S303" s="25"/>
      <c r="T303" s="25"/>
      <c r="U303" s="25"/>
      <c r="V303" s="25"/>
      <c r="W303" s="25"/>
    </row>
    <row r="304" spans="3:23" x14ac:dyDescent="0.2"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S304" s="25"/>
      <c r="T304" s="25"/>
      <c r="U304" s="25"/>
      <c r="V304" s="25"/>
      <c r="W304" s="25"/>
    </row>
    <row r="305" spans="3:23" x14ac:dyDescent="0.2"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S305" s="25"/>
      <c r="T305" s="25"/>
      <c r="U305" s="25"/>
      <c r="V305" s="25"/>
      <c r="W305" s="25"/>
    </row>
    <row r="306" spans="3:23" x14ac:dyDescent="0.2"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S306" s="25"/>
      <c r="T306" s="25"/>
      <c r="U306" s="25"/>
      <c r="V306" s="25"/>
      <c r="W306" s="25"/>
    </row>
    <row r="307" spans="3:23" x14ac:dyDescent="0.2"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S307" s="25"/>
      <c r="T307" s="25"/>
      <c r="U307" s="25"/>
      <c r="V307" s="25"/>
      <c r="W307" s="25"/>
    </row>
    <row r="308" spans="3:23" x14ac:dyDescent="0.2"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S308" s="25"/>
      <c r="T308" s="25"/>
      <c r="U308" s="25"/>
      <c r="V308" s="25"/>
      <c r="W308" s="25"/>
    </row>
    <row r="309" spans="3:23" x14ac:dyDescent="0.2"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S309" s="25"/>
      <c r="T309" s="25"/>
      <c r="U309" s="25"/>
      <c r="V309" s="25"/>
      <c r="W309" s="25"/>
    </row>
    <row r="310" spans="3:23" x14ac:dyDescent="0.2"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S310" s="25"/>
      <c r="T310" s="25"/>
      <c r="U310" s="25"/>
      <c r="V310" s="25"/>
      <c r="W310" s="25"/>
    </row>
    <row r="311" spans="3:23" x14ac:dyDescent="0.2"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S311" s="25"/>
      <c r="T311" s="25"/>
      <c r="U311" s="25"/>
      <c r="V311" s="25"/>
      <c r="W311" s="25"/>
    </row>
    <row r="312" spans="3:23" x14ac:dyDescent="0.2"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S312" s="25"/>
      <c r="T312" s="25"/>
      <c r="U312" s="25"/>
      <c r="V312" s="25"/>
      <c r="W312" s="25"/>
    </row>
    <row r="313" spans="3:23" x14ac:dyDescent="0.2"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S313" s="25"/>
      <c r="T313" s="25"/>
      <c r="U313" s="25"/>
      <c r="V313" s="25"/>
      <c r="W313" s="25"/>
    </row>
    <row r="314" spans="3:23" x14ac:dyDescent="0.2"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S314" s="25"/>
      <c r="T314" s="25"/>
      <c r="U314" s="25"/>
      <c r="V314" s="25"/>
      <c r="W314" s="25"/>
    </row>
    <row r="315" spans="3:23" x14ac:dyDescent="0.2"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S315" s="25"/>
      <c r="T315" s="25"/>
      <c r="U315" s="25"/>
      <c r="V315" s="25"/>
      <c r="W315" s="25"/>
    </row>
    <row r="316" spans="3:23" x14ac:dyDescent="0.2"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S316" s="25"/>
      <c r="T316" s="25"/>
      <c r="U316" s="25"/>
      <c r="V316" s="25"/>
      <c r="W316" s="25"/>
    </row>
    <row r="317" spans="3:23" x14ac:dyDescent="0.2"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S317" s="25"/>
      <c r="T317" s="25"/>
      <c r="U317" s="25"/>
      <c r="V317" s="25"/>
      <c r="W317" s="25"/>
    </row>
    <row r="318" spans="3:23" x14ac:dyDescent="0.2"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S318" s="25"/>
      <c r="T318" s="25"/>
      <c r="U318" s="25"/>
      <c r="V318" s="25"/>
      <c r="W318" s="25"/>
    </row>
    <row r="319" spans="3:23" x14ac:dyDescent="0.2"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S319" s="25"/>
      <c r="T319" s="25"/>
      <c r="U319" s="25"/>
      <c r="V319" s="25"/>
      <c r="W319" s="25"/>
    </row>
    <row r="320" spans="3:23" x14ac:dyDescent="0.2"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S320" s="25"/>
      <c r="T320" s="25"/>
      <c r="U320" s="25"/>
      <c r="V320" s="25"/>
      <c r="W320" s="25"/>
    </row>
    <row r="321" spans="3:23" x14ac:dyDescent="0.2"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S321" s="25"/>
      <c r="T321" s="25"/>
      <c r="U321" s="25"/>
      <c r="V321" s="25"/>
      <c r="W321" s="25"/>
    </row>
    <row r="322" spans="3:23" x14ac:dyDescent="0.2"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S322" s="25"/>
      <c r="T322" s="25"/>
      <c r="U322" s="25"/>
      <c r="V322" s="25"/>
      <c r="W322" s="25"/>
    </row>
    <row r="323" spans="3:23" x14ac:dyDescent="0.2"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S323" s="25"/>
      <c r="T323" s="25"/>
      <c r="U323" s="25"/>
      <c r="V323" s="25"/>
      <c r="W323" s="25"/>
    </row>
    <row r="324" spans="3:23" x14ac:dyDescent="0.2"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S324" s="25"/>
      <c r="T324" s="25"/>
      <c r="U324" s="25"/>
      <c r="V324" s="25"/>
      <c r="W324" s="25"/>
    </row>
    <row r="325" spans="3:23" x14ac:dyDescent="0.2"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S325" s="25"/>
      <c r="T325" s="25"/>
      <c r="U325" s="25"/>
      <c r="V325" s="25"/>
      <c r="W325" s="25"/>
    </row>
    <row r="326" spans="3:23" x14ac:dyDescent="0.2"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S326" s="25"/>
      <c r="T326" s="25"/>
      <c r="U326" s="25"/>
      <c r="V326" s="25"/>
      <c r="W326" s="25"/>
    </row>
    <row r="327" spans="3:23" x14ac:dyDescent="0.2"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S327" s="25"/>
      <c r="T327" s="25"/>
      <c r="U327" s="25"/>
      <c r="V327" s="25"/>
      <c r="W327" s="25"/>
    </row>
    <row r="328" spans="3:23" x14ac:dyDescent="0.2"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S328" s="25"/>
      <c r="T328" s="25"/>
      <c r="U328" s="25"/>
      <c r="V328" s="25"/>
      <c r="W328" s="25"/>
    </row>
    <row r="329" spans="3:23" x14ac:dyDescent="0.2"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S329" s="25"/>
      <c r="T329" s="25"/>
      <c r="U329" s="25"/>
      <c r="V329" s="25"/>
      <c r="W329" s="25"/>
    </row>
    <row r="330" spans="3:23" x14ac:dyDescent="0.2"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S330" s="25"/>
      <c r="T330" s="25"/>
      <c r="U330" s="25"/>
      <c r="V330" s="25"/>
      <c r="W330" s="25"/>
    </row>
    <row r="331" spans="3:23" x14ac:dyDescent="0.2"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S331" s="25"/>
      <c r="T331" s="25"/>
      <c r="U331" s="25"/>
      <c r="V331" s="25"/>
      <c r="W331" s="25"/>
    </row>
    <row r="332" spans="3:23" x14ac:dyDescent="0.2"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S332" s="25"/>
      <c r="T332" s="25"/>
      <c r="U332" s="25"/>
      <c r="V332" s="25"/>
      <c r="W332" s="25"/>
    </row>
    <row r="333" spans="3:23" x14ac:dyDescent="0.2"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S333" s="25"/>
      <c r="T333" s="25"/>
      <c r="U333" s="25"/>
      <c r="V333" s="25"/>
      <c r="W333" s="25"/>
    </row>
    <row r="334" spans="3:23" x14ac:dyDescent="0.2"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S334" s="25"/>
      <c r="T334" s="25"/>
      <c r="U334" s="25"/>
      <c r="V334" s="25"/>
      <c r="W334" s="25"/>
    </row>
    <row r="335" spans="3:23" x14ac:dyDescent="0.2"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S335" s="25"/>
      <c r="T335" s="25"/>
      <c r="U335" s="25"/>
      <c r="V335" s="25"/>
      <c r="W335" s="25"/>
    </row>
    <row r="336" spans="3:23" x14ac:dyDescent="0.2"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S336" s="25"/>
      <c r="T336" s="25"/>
      <c r="U336" s="25"/>
      <c r="V336" s="25"/>
      <c r="W336" s="25"/>
    </row>
    <row r="337" spans="3:23" x14ac:dyDescent="0.2"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S337" s="25"/>
      <c r="T337" s="25"/>
      <c r="U337" s="25"/>
      <c r="V337" s="25"/>
      <c r="W337" s="25"/>
    </row>
    <row r="338" spans="3:23" x14ac:dyDescent="0.2"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S338" s="25"/>
      <c r="T338" s="25"/>
      <c r="U338" s="25"/>
      <c r="V338" s="25"/>
      <c r="W338" s="25"/>
    </row>
    <row r="339" spans="3:23" x14ac:dyDescent="0.2"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S339" s="25"/>
      <c r="T339" s="25"/>
      <c r="U339" s="25"/>
      <c r="V339" s="25"/>
      <c r="W339" s="25"/>
    </row>
    <row r="340" spans="3:23" x14ac:dyDescent="0.2"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S340" s="25"/>
      <c r="T340" s="25"/>
      <c r="U340" s="25"/>
      <c r="V340" s="25"/>
      <c r="W340" s="25"/>
    </row>
    <row r="341" spans="3:23" x14ac:dyDescent="0.2"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S341" s="25"/>
      <c r="T341" s="25"/>
      <c r="U341" s="25"/>
      <c r="V341" s="25"/>
      <c r="W341" s="25"/>
    </row>
    <row r="342" spans="3:23" x14ac:dyDescent="0.2"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S342" s="25"/>
      <c r="T342" s="25"/>
      <c r="U342" s="25"/>
      <c r="V342" s="25"/>
      <c r="W342" s="25"/>
    </row>
    <row r="343" spans="3:23" x14ac:dyDescent="0.2"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S343" s="25"/>
      <c r="T343" s="25"/>
      <c r="U343" s="25"/>
      <c r="V343" s="25"/>
      <c r="W343" s="25"/>
    </row>
    <row r="344" spans="3:23" x14ac:dyDescent="0.2"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S344" s="25"/>
      <c r="T344" s="25"/>
      <c r="U344" s="25"/>
      <c r="V344" s="25"/>
      <c r="W344" s="25"/>
    </row>
    <row r="345" spans="3:23" x14ac:dyDescent="0.2"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S345" s="25"/>
      <c r="T345" s="25"/>
      <c r="U345" s="25"/>
      <c r="V345" s="25"/>
      <c r="W345" s="25"/>
    </row>
    <row r="346" spans="3:23" x14ac:dyDescent="0.2"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S346" s="25"/>
      <c r="T346" s="25"/>
      <c r="U346" s="25"/>
      <c r="V346" s="25"/>
      <c r="W346" s="25"/>
    </row>
    <row r="347" spans="3:23" x14ac:dyDescent="0.2"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S347" s="25"/>
      <c r="T347" s="25"/>
      <c r="U347" s="25"/>
      <c r="V347" s="25"/>
      <c r="W347" s="25"/>
    </row>
    <row r="348" spans="3:23" x14ac:dyDescent="0.2"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S348" s="25"/>
      <c r="T348" s="25"/>
      <c r="U348" s="25"/>
      <c r="V348" s="25"/>
      <c r="W348" s="25"/>
    </row>
    <row r="349" spans="3:23" x14ac:dyDescent="0.2"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S349" s="25"/>
      <c r="T349" s="25"/>
      <c r="U349" s="25"/>
      <c r="V349" s="25"/>
      <c r="W349" s="25"/>
    </row>
    <row r="350" spans="3:23" x14ac:dyDescent="0.2"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S350" s="25"/>
      <c r="T350" s="25"/>
      <c r="U350" s="25"/>
      <c r="V350" s="25"/>
      <c r="W350" s="25"/>
    </row>
    <row r="351" spans="3:23" x14ac:dyDescent="0.2"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S351" s="25"/>
      <c r="T351" s="25"/>
      <c r="U351" s="25"/>
      <c r="V351" s="25"/>
      <c r="W351" s="25"/>
    </row>
    <row r="352" spans="3:23" x14ac:dyDescent="0.2"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S352" s="25"/>
      <c r="T352" s="25"/>
      <c r="U352" s="25"/>
      <c r="V352" s="25"/>
      <c r="W352" s="25"/>
    </row>
    <row r="353" spans="3:23" x14ac:dyDescent="0.2"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S353" s="25"/>
      <c r="T353" s="25"/>
      <c r="U353" s="25"/>
      <c r="V353" s="25"/>
      <c r="W353" s="25"/>
    </row>
    <row r="354" spans="3:23" x14ac:dyDescent="0.2"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S354" s="25"/>
      <c r="T354" s="25"/>
      <c r="U354" s="25"/>
      <c r="V354" s="25"/>
      <c r="W354" s="25"/>
    </row>
    <row r="355" spans="3:23" x14ac:dyDescent="0.2"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S355" s="25"/>
      <c r="T355" s="25"/>
      <c r="U355" s="25"/>
      <c r="V355" s="25"/>
      <c r="W355" s="25"/>
    </row>
    <row r="356" spans="3:23" x14ac:dyDescent="0.2"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S356" s="25"/>
      <c r="T356" s="25"/>
      <c r="U356" s="25"/>
      <c r="V356" s="25"/>
      <c r="W356" s="25"/>
    </row>
    <row r="357" spans="3:23" x14ac:dyDescent="0.2"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S357" s="25"/>
      <c r="T357" s="25"/>
      <c r="U357" s="25"/>
      <c r="V357" s="25"/>
      <c r="W357" s="25"/>
    </row>
    <row r="358" spans="3:23" x14ac:dyDescent="0.2"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S358" s="25"/>
      <c r="T358" s="25"/>
      <c r="U358" s="25"/>
      <c r="V358" s="25"/>
      <c r="W358" s="25"/>
    </row>
    <row r="359" spans="3:23" x14ac:dyDescent="0.2"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S359" s="25"/>
      <c r="T359" s="25"/>
      <c r="U359" s="25"/>
      <c r="V359" s="25"/>
      <c r="W359" s="25"/>
    </row>
    <row r="360" spans="3:23" x14ac:dyDescent="0.2"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S360" s="25"/>
      <c r="T360" s="25"/>
      <c r="U360" s="25"/>
      <c r="V360" s="25"/>
      <c r="W360" s="25"/>
    </row>
    <row r="361" spans="3:23" x14ac:dyDescent="0.2"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S361" s="25"/>
      <c r="T361" s="25"/>
      <c r="U361" s="25"/>
      <c r="V361" s="25"/>
      <c r="W361" s="25"/>
    </row>
    <row r="362" spans="3:23" x14ac:dyDescent="0.2"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S362" s="25"/>
      <c r="T362" s="25"/>
      <c r="U362" s="25"/>
      <c r="V362" s="25"/>
      <c r="W362" s="25"/>
    </row>
    <row r="363" spans="3:23" x14ac:dyDescent="0.2"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S363" s="25"/>
      <c r="T363" s="25"/>
      <c r="U363" s="25"/>
      <c r="V363" s="25"/>
      <c r="W363" s="25"/>
    </row>
    <row r="364" spans="3:23" x14ac:dyDescent="0.2"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S364" s="25"/>
      <c r="T364" s="25"/>
      <c r="U364" s="25"/>
      <c r="V364" s="25"/>
      <c r="W364" s="25"/>
    </row>
    <row r="365" spans="3:23" x14ac:dyDescent="0.2"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S365" s="25"/>
      <c r="T365" s="25"/>
      <c r="U365" s="25"/>
      <c r="V365" s="25"/>
      <c r="W365" s="25"/>
    </row>
    <row r="366" spans="3:23" x14ac:dyDescent="0.2"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S366" s="25"/>
      <c r="T366" s="25"/>
      <c r="U366" s="25"/>
      <c r="V366" s="25"/>
      <c r="W366" s="25"/>
    </row>
    <row r="367" spans="3:23" x14ac:dyDescent="0.2"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S367" s="25"/>
      <c r="T367" s="25"/>
      <c r="U367" s="25"/>
      <c r="V367" s="25"/>
      <c r="W367" s="25"/>
    </row>
    <row r="368" spans="3:23" x14ac:dyDescent="0.2"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S368" s="25"/>
      <c r="T368" s="25"/>
      <c r="U368" s="25"/>
      <c r="V368" s="25"/>
      <c r="W368" s="25"/>
    </row>
    <row r="369" spans="3:23" x14ac:dyDescent="0.2"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S369" s="25"/>
      <c r="T369" s="25"/>
      <c r="U369" s="25"/>
      <c r="V369" s="25"/>
      <c r="W369" s="25"/>
    </row>
    <row r="370" spans="3:23" x14ac:dyDescent="0.2"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S370" s="25"/>
      <c r="T370" s="25"/>
      <c r="U370" s="25"/>
      <c r="V370" s="25"/>
      <c r="W370" s="25"/>
    </row>
    <row r="371" spans="3:23" x14ac:dyDescent="0.2"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S371" s="25"/>
      <c r="T371" s="25"/>
      <c r="U371" s="25"/>
      <c r="V371" s="25"/>
      <c r="W371" s="25"/>
    </row>
    <row r="372" spans="3:23" x14ac:dyDescent="0.2"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S372" s="25"/>
      <c r="T372" s="25"/>
      <c r="U372" s="25"/>
      <c r="V372" s="25"/>
      <c r="W372" s="25"/>
    </row>
    <row r="373" spans="3:23" x14ac:dyDescent="0.2"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S373" s="25"/>
      <c r="T373" s="25"/>
      <c r="U373" s="25"/>
      <c r="V373" s="25"/>
      <c r="W373" s="25"/>
    </row>
    <row r="374" spans="3:23" x14ac:dyDescent="0.2"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S374" s="25"/>
      <c r="T374" s="25"/>
      <c r="U374" s="25"/>
      <c r="V374" s="25"/>
      <c r="W374" s="25"/>
    </row>
    <row r="375" spans="3:23" x14ac:dyDescent="0.2"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S375" s="25"/>
      <c r="T375" s="25"/>
      <c r="U375" s="25"/>
      <c r="V375" s="25"/>
      <c r="W375" s="25"/>
    </row>
    <row r="376" spans="3:23" x14ac:dyDescent="0.2"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S376" s="25"/>
      <c r="T376" s="25"/>
      <c r="U376" s="25"/>
      <c r="V376" s="25"/>
      <c r="W376" s="25"/>
    </row>
    <row r="377" spans="3:23" x14ac:dyDescent="0.2"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S377" s="25"/>
      <c r="T377" s="25"/>
      <c r="U377" s="25"/>
      <c r="V377" s="25"/>
      <c r="W377" s="25"/>
    </row>
    <row r="378" spans="3:23" x14ac:dyDescent="0.2"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S378" s="25"/>
      <c r="T378" s="25"/>
      <c r="U378" s="25"/>
      <c r="V378" s="25"/>
      <c r="W378" s="25"/>
    </row>
    <row r="379" spans="3:23" x14ac:dyDescent="0.2"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S379" s="25"/>
      <c r="T379" s="25"/>
      <c r="U379" s="25"/>
      <c r="V379" s="25"/>
      <c r="W379" s="25"/>
    </row>
    <row r="380" spans="3:23" x14ac:dyDescent="0.2"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S380" s="25"/>
      <c r="T380" s="25"/>
      <c r="U380" s="25"/>
      <c r="V380" s="25"/>
      <c r="W380" s="25"/>
    </row>
    <row r="381" spans="3:23" x14ac:dyDescent="0.2"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S381" s="25"/>
      <c r="T381" s="25"/>
      <c r="U381" s="25"/>
      <c r="V381" s="25"/>
      <c r="W381" s="25"/>
    </row>
    <row r="382" spans="3:23" x14ac:dyDescent="0.2"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S382" s="25"/>
      <c r="T382" s="25"/>
      <c r="U382" s="25"/>
      <c r="V382" s="25"/>
      <c r="W382" s="25"/>
    </row>
    <row r="383" spans="3:23" x14ac:dyDescent="0.2"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S383" s="25"/>
      <c r="T383" s="25"/>
      <c r="U383" s="25"/>
      <c r="V383" s="25"/>
      <c r="W383" s="25"/>
    </row>
    <row r="384" spans="3:23" x14ac:dyDescent="0.2"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S384" s="25"/>
      <c r="T384" s="25"/>
      <c r="U384" s="25"/>
      <c r="V384" s="25"/>
      <c r="W384" s="25"/>
    </row>
    <row r="385" spans="3:23" x14ac:dyDescent="0.2"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S385" s="25"/>
      <c r="T385" s="25"/>
      <c r="U385" s="25"/>
      <c r="V385" s="25"/>
      <c r="W385" s="25"/>
    </row>
    <row r="386" spans="3:23" x14ac:dyDescent="0.2"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S386" s="25"/>
      <c r="T386" s="25"/>
      <c r="U386" s="25"/>
      <c r="V386" s="25"/>
      <c r="W386" s="25"/>
    </row>
    <row r="387" spans="3:23" x14ac:dyDescent="0.2"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S387" s="25"/>
      <c r="T387" s="25"/>
      <c r="U387" s="25"/>
      <c r="V387" s="25"/>
      <c r="W387" s="25"/>
    </row>
    <row r="388" spans="3:23" x14ac:dyDescent="0.2"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S388" s="25"/>
      <c r="T388" s="25"/>
      <c r="U388" s="25"/>
      <c r="V388" s="25"/>
      <c r="W388" s="25"/>
    </row>
    <row r="389" spans="3:23" x14ac:dyDescent="0.2"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S389" s="25"/>
      <c r="T389" s="25"/>
      <c r="U389" s="25"/>
      <c r="V389" s="25"/>
      <c r="W389" s="25"/>
    </row>
    <row r="390" spans="3:23" x14ac:dyDescent="0.2"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S390" s="25"/>
      <c r="T390" s="25"/>
      <c r="U390" s="25"/>
      <c r="V390" s="25"/>
      <c r="W390" s="25"/>
    </row>
    <row r="391" spans="3:23" x14ac:dyDescent="0.2"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S391" s="25"/>
      <c r="T391" s="25"/>
      <c r="U391" s="25"/>
      <c r="V391" s="25"/>
      <c r="W391" s="25"/>
    </row>
    <row r="392" spans="3:23" x14ac:dyDescent="0.2"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S392" s="25"/>
      <c r="T392" s="25"/>
      <c r="U392" s="25"/>
      <c r="V392" s="25"/>
      <c r="W392" s="25"/>
    </row>
    <row r="393" spans="3:23" x14ac:dyDescent="0.2"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S393" s="25"/>
      <c r="T393" s="25"/>
      <c r="U393" s="25"/>
      <c r="V393" s="25"/>
      <c r="W393" s="25"/>
    </row>
    <row r="394" spans="3:23" x14ac:dyDescent="0.2"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S394" s="25"/>
      <c r="T394" s="25"/>
      <c r="U394" s="25"/>
      <c r="V394" s="25"/>
      <c r="W394" s="25"/>
    </row>
    <row r="395" spans="3:23" x14ac:dyDescent="0.2"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S395" s="25"/>
      <c r="T395" s="25"/>
      <c r="U395" s="25"/>
      <c r="V395" s="25"/>
      <c r="W395" s="25"/>
    </row>
    <row r="396" spans="3:23" x14ac:dyDescent="0.2"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S396" s="25"/>
      <c r="T396" s="25"/>
      <c r="U396" s="25"/>
      <c r="V396" s="25"/>
      <c r="W396" s="25"/>
    </row>
    <row r="397" spans="3:23" x14ac:dyDescent="0.2"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S397" s="25"/>
      <c r="T397" s="25"/>
      <c r="U397" s="25"/>
      <c r="V397" s="25"/>
      <c r="W397" s="25"/>
    </row>
    <row r="398" spans="3:23" x14ac:dyDescent="0.2"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S398" s="25"/>
      <c r="T398" s="25"/>
      <c r="U398" s="25"/>
      <c r="V398" s="25"/>
      <c r="W398" s="25"/>
    </row>
    <row r="399" spans="3:23" x14ac:dyDescent="0.2"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S399" s="25"/>
      <c r="T399" s="25"/>
      <c r="U399" s="25"/>
      <c r="V399" s="25"/>
      <c r="W399" s="25"/>
    </row>
    <row r="400" spans="3:23" x14ac:dyDescent="0.2"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S400" s="25"/>
      <c r="T400" s="25"/>
      <c r="U400" s="25"/>
      <c r="V400" s="25"/>
      <c r="W400" s="25"/>
    </row>
    <row r="401" spans="3:23" x14ac:dyDescent="0.2"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S401" s="25"/>
      <c r="T401" s="25"/>
      <c r="U401" s="25"/>
      <c r="V401" s="25"/>
      <c r="W401" s="25"/>
    </row>
    <row r="402" spans="3:23" x14ac:dyDescent="0.2"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S402" s="25"/>
      <c r="T402" s="25"/>
      <c r="U402" s="25"/>
      <c r="V402" s="25"/>
      <c r="W402" s="25"/>
    </row>
    <row r="403" spans="3:23" x14ac:dyDescent="0.2"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S403" s="25"/>
      <c r="T403" s="25"/>
      <c r="U403" s="25"/>
      <c r="V403" s="25"/>
      <c r="W403" s="25"/>
    </row>
    <row r="404" spans="3:23" x14ac:dyDescent="0.2"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S404" s="25"/>
      <c r="T404" s="25"/>
      <c r="U404" s="25"/>
      <c r="V404" s="25"/>
      <c r="W404" s="25"/>
    </row>
    <row r="405" spans="3:23" x14ac:dyDescent="0.2"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S405" s="25"/>
      <c r="T405" s="25"/>
      <c r="U405" s="25"/>
      <c r="V405" s="25"/>
      <c r="W405" s="25"/>
    </row>
    <row r="406" spans="3:23" x14ac:dyDescent="0.2"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S406" s="25"/>
      <c r="T406" s="25"/>
      <c r="U406" s="25"/>
      <c r="V406" s="25"/>
      <c r="W406" s="25"/>
    </row>
    <row r="407" spans="3:23" x14ac:dyDescent="0.2"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S407" s="25"/>
      <c r="T407" s="25"/>
      <c r="U407" s="25"/>
      <c r="V407" s="25"/>
      <c r="W407" s="25"/>
    </row>
    <row r="408" spans="3:23" x14ac:dyDescent="0.2"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S408" s="25"/>
      <c r="T408" s="25"/>
      <c r="U408" s="25"/>
      <c r="V408" s="25"/>
      <c r="W408" s="25"/>
    </row>
    <row r="409" spans="3:23" x14ac:dyDescent="0.2"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S409" s="25"/>
      <c r="T409" s="25"/>
      <c r="U409" s="25"/>
      <c r="V409" s="25"/>
      <c r="W409" s="25"/>
    </row>
    <row r="410" spans="3:23" x14ac:dyDescent="0.2"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S410" s="25"/>
      <c r="T410" s="25"/>
      <c r="U410" s="25"/>
      <c r="V410" s="25"/>
      <c r="W410" s="25"/>
    </row>
    <row r="411" spans="3:23" x14ac:dyDescent="0.2"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S411" s="25"/>
      <c r="T411" s="25"/>
      <c r="U411" s="25"/>
      <c r="V411" s="25"/>
      <c r="W411" s="25"/>
    </row>
    <row r="412" spans="3:23" x14ac:dyDescent="0.2"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S412" s="25"/>
      <c r="T412" s="25"/>
      <c r="U412" s="25"/>
      <c r="V412" s="25"/>
      <c r="W412" s="25"/>
    </row>
    <row r="413" spans="3:23" x14ac:dyDescent="0.2"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S413" s="25"/>
      <c r="T413" s="25"/>
      <c r="U413" s="25"/>
      <c r="V413" s="25"/>
      <c r="W413" s="25"/>
    </row>
    <row r="414" spans="3:23" x14ac:dyDescent="0.2"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S414" s="25"/>
      <c r="T414" s="25"/>
      <c r="U414" s="25"/>
      <c r="V414" s="25"/>
      <c r="W414" s="25"/>
    </row>
    <row r="415" spans="3:23" x14ac:dyDescent="0.2"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S415" s="25"/>
      <c r="T415" s="25"/>
      <c r="U415" s="25"/>
      <c r="V415" s="25"/>
      <c r="W415" s="25"/>
    </row>
    <row r="416" spans="3:23" x14ac:dyDescent="0.2"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S416" s="25"/>
      <c r="T416" s="25"/>
      <c r="U416" s="25"/>
      <c r="V416" s="25"/>
      <c r="W416" s="25"/>
    </row>
    <row r="417" spans="3:23" x14ac:dyDescent="0.2"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S417" s="25"/>
      <c r="T417" s="25"/>
      <c r="U417" s="25"/>
      <c r="V417" s="25"/>
      <c r="W417" s="25"/>
    </row>
    <row r="418" spans="3:23" x14ac:dyDescent="0.2"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S418" s="25"/>
      <c r="T418" s="25"/>
      <c r="U418" s="25"/>
      <c r="V418" s="25"/>
      <c r="W418" s="25"/>
    </row>
    <row r="419" spans="3:23" x14ac:dyDescent="0.2"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S419" s="25"/>
      <c r="T419" s="25"/>
      <c r="U419" s="25"/>
      <c r="V419" s="25"/>
      <c r="W419" s="25"/>
    </row>
    <row r="420" spans="3:23" x14ac:dyDescent="0.2"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S420" s="25"/>
      <c r="T420" s="25"/>
      <c r="U420" s="25"/>
      <c r="V420" s="25"/>
      <c r="W420" s="25"/>
    </row>
    <row r="421" spans="3:23" x14ac:dyDescent="0.2"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S421" s="25"/>
      <c r="T421" s="25"/>
      <c r="U421" s="25"/>
      <c r="V421" s="25"/>
      <c r="W421" s="25"/>
    </row>
    <row r="422" spans="3:23" x14ac:dyDescent="0.2"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S422" s="25"/>
      <c r="T422" s="25"/>
      <c r="U422" s="25"/>
      <c r="V422" s="25"/>
      <c r="W422" s="25"/>
    </row>
    <row r="423" spans="3:23" x14ac:dyDescent="0.2"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S423" s="25"/>
      <c r="T423" s="25"/>
      <c r="U423" s="25"/>
      <c r="V423" s="25"/>
      <c r="W423" s="25"/>
    </row>
    <row r="424" spans="3:23" x14ac:dyDescent="0.2"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S424" s="25"/>
      <c r="T424" s="25"/>
      <c r="U424" s="25"/>
      <c r="V424" s="25"/>
      <c r="W424" s="25"/>
    </row>
    <row r="425" spans="3:23" x14ac:dyDescent="0.2"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S425" s="25"/>
      <c r="T425" s="25"/>
      <c r="U425" s="25"/>
      <c r="V425" s="25"/>
      <c r="W425" s="25"/>
    </row>
    <row r="426" spans="3:23" x14ac:dyDescent="0.2"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S426" s="25"/>
      <c r="T426" s="25"/>
      <c r="U426" s="25"/>
      <c r="V426" s="25"/>
      <c r="W426" s="25"/>
    </row>
    <row r="427" spans="3:23" x14ac:dyDescent="0.2"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S427" s="25"/>
      <c r="T427" s="25"/>
      <c r="U427" s="25"/>
      <c r="V427" s="25"/>
      <c r="W427" s="25"/>
    </row>
    <row r="428" spans="3:23" x14ac:dyDescent="0.2"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S428" s="25"/>
      <c r="T428" s="25"/>
      <c r="U428" s="25"/>
      <c r="V428" s="25"/>
      <c r="W428" s="25"/>
    </row>
    <row r="429" spans="3:23" x14ac:dyDescent="0.2"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S429" s="25"/>
      <c r="T429" s="25"/>
      <c r="U429" s="25"/>
      <c r="V429" s="25"/>
      <c r="W429" s="25"/>
    </row>
    <row r="430" spans="3:23" x14ac:dyDescent="0.2"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S430" s="25"/>
      <c r="T430" s="25"/>
      <c r="U430" s="25"/>
      <c r="V430" s="25"/>
      <c r="W430" s="25"/>
    </row>
    <row r="431" spans="3:23" x14ac:dyDescent="0.2"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S431" s="25"/>
      <c r="T431" s="25"/>
      <c r="U431" s="25"/>
      <c r="V431" s="25"/>
      <c r="W431" s="25"/>
    </row>
    <row r="432" spans="3:23" x14ac:dyDescent="0.2"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S432" s="25"/>
      <c r="T432" s="25"/>
      <c r="U432" s="25"/>
      <c r="V432" s="25"/>
      <c r="W432" s="25"/>
    </row>
    <row r="433" spans="3:23" x14ac:dyDescent="0.2"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S433" s="25"/>
      <c r="T433" s="25"/>
      <c r="U433" s="25"/>
      <c r="V433" s="25"/>
      <c r="W433" s="25"/>
    </row>
    <row r="434" spans="3:23" x14ac:dyDescent="0.2"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S434" s="25"/>
      <c r="T434" s="25"/>
      <c r="U434" s="25"/>
      <c r="V434" s="25"/>
      <c r="W434" s="25"/>
    </row>
    <row r="435" spans="3:23" x14ac:dyDescent="0.2"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S435" s="25"/>
      <c r="T435" s="25"/>
      <c r="U435" s="25"/>
      <c r="V435" s="25"/>
      <c r="W435" s="25"/>
    </row>
    <row r="436" spans="3:23" x14ac:dyDescent="0.2"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S436" s="25"/>
      <c r="T436" s="25"/>
      <c r="U436" s="25"/>
      <c r="V436" s="25"/>
      <c r="W436" s="25"/>
    </row>
    <row r="437" spans="3:23" x14ac:dyDescent="0.2"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S437" s="25"/>
      <c r="T437" s="25"/>
      <c r="U437" s="25"/>
      <c r="V437" s="25"/>
      <c r="W437" s="25"/>
    </row>
    <row r="438" spans="3:23" x14ac:dyDescent="0.2"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S438" s="25"/>
      <c r="T438" s="25"/>
      <c r="U438" s="25"/>
      <c r="V438" s="25"/>
      <c r="W438" s="25"/>
    </row>
    <row r="439" spans="3:23" x14ac:dyDescent="0.2"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S439" s="25"/>
      <c r="T439" s="25"/>
      <c r="U439" s="25"/>
      <c r="V439" s="25"/>
      <c r="W439" s="25"/>
    </row>
    <row r="440" spans="3:23" x14ac:dyDescent="0.2"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S440" s="25"/>
      <c r="T440" s="25"/>
      <c r="U440" s="25"/>
      <c r="V440" s="25"/>
      <c r="W440" s="25"/>
    </row>
    <row r="441" spans="3:23" x14ac:dyDescent="0.2"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S441" s="25"/>
      <c r="T441" s="25"/>
      <c r="U441" s="25"/>
      <c r="V441" s="25"/>
      <c r="W441" s="25"/>
    </row>
    <row r="442" spans="3:23" x14ac:dyDescent="0.2"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S442" s="25"/>
      <c r="T442" s="25"/>
      <c r="U442" s="25"/>
      <c r="V442" s="25"/>
      <c r="W442" s="25"/>
    </row>
    <row r="443" spans="3:23" x14ac:dyDescent="0.2"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S443" s="25"/>
      <c r="T443" s="25"/>
      <c r="U443" s="25"/>
      <c r="V443" s="25"/>
      <c r="W443" s="25"/>
    </row>
    <row r="444" spans="3:23" x14ac:dyDescent="0.2"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S444" s="25"/>
      <c r="T444" s="25"/>
      <c r="U444" s="25"/>
      <c r="V444" s="25"/>
      <c r="W444" s="25"/>
    </row>
    <row r="445" spans="3:23" x14ac:dyDescent="0.2"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S445" s="25"/>
      <c r="T445" s="25"/>
      <c r="U445" s="25"/>
      <c r="V445" s="25"/>
      <c r="W445" s="25"/>
    </row>
    <row r="446" spans="3:23" x14ac:dyDescent="0.2"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S446" s="25"/>
      <c r="T446" s="25"/>
      <c r="U446" s="25"/>
      <c r="V446" s="25"/>
      <c r="W446" s="25"/>
    </row>
    <row r="447" spans="3:23" x14ac:dyDescent="0.2"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S447" s="25"/>
      <c r="T447" s="25"/>
      <c r="U447" s="25"/>
      <c r="V447" s="25"/>
      <c r="W447" s="25"/>
    </row>
    <row r="448" spans="3:23" x14ac:dyDescent="0.2"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S448" s="25"/>
      <c r="T448" s="25"/>
      <c r="U448" s="25"/>
      <c r="V448" s="25"/>
      <c r="W448" s="25"/>
    </row>
    <row r="449" spans="3:23" x14ac:dyDescent="0.2"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S449" s="25"/>
      <c r="T449" s="25"/>
      <c r="U449" s="25"/>
      <c r="V449" s="25"/>
      <c r="W449" s="25"/>
    </row>
    <row r="450" spans="3:23" x14ac:dyDescent="0.2"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S450" s="25"/>
      <c r="T450" s="25"/>
      <c r="U450" s="25"/>
      <c r="V450" s="25"/>
      <c r="W450" s="25"/>
    </row>
    <row r="451" spans="3:23" x14ac:dyDescent="0.2"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S451" s="25"/>
      <c r="T451" s="25"/>
      <c r="U451" s="25"/>
      <c r="V451" s="25"/>
      <c r="W451" s="25"/>
    </row>
    <row r="452" spans="3:23" x14ac:dyDescent="0.2"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S452" s="25"/>
      <c r="T452" s="25"/>
      <c r="U452" s="25"/>
      <c r="V452" s="25"/>
      <c r="W452" s="25"/>
    </row>
    <row r="453" spans="3:23" x14ac:dyDescent="0.2"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S453" s="25"/>
      <c r="T453" s="25"/>
      <c r="U453" s="25"/>
      <c r="V453" s="25"/>
      <c r="W453" s="25"/>
    </row>
    <row r="454" spans="3:23" x14ac:dyDescent="0.2"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S454" s="25"/>
      <c r="T454" s="25"/>
      <c r="U454" s="25"/>
      <c r="V454" s="25"/>
      <c r="W454" s="25"/>
    </row>
    <row r="455" spans="3:23" x14ac:dyDescent="0.2"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S455" s="25"/>
      <c r="T455" s="25"/>
      <c r="U455" s="25"/>
      <c r="V455" s="25"/>
      <c r="W455" s="25"/>
    </row>
    <row r="456" spans="3:23" x14ac:dyDescent="0.2"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S456" s="25"/>
      <c r="T456" s="25"/>
      <c r="U456" s="25"/>
      <c r="V456" s="25"/>
      <c r="W456" s="25"/>
    </row>
    <row r="457" spans="3:23" x14ac:dyDescent="0.2"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S457" s="25"/>
      <c r="T457" s="25"/>
      <c r="U457" s="25"/>
      <c r="V457" s="25"/>
      <c r="W457" s="25"/>
    </row>
    <row r="458" spans="3:23" x14ac:dyDescent="0.2"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S458" s="25"/>
      <c r="T458" s="25"/>
      <c r="U458" s="25"/>
      <c r="V458" s="25"/>
      <c r="W458" s="25"/>
    </row>
    <row r="459" spans="3:23" x14ac:dyDescent="0.2"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S459" s="25"/>
      <c r="T459" s="25"/>
      <c r="U459" s="25"/>
      <c r="V459" s="25"/>
      <c r="W459" s="25"/>
    </row>
    <row r="460" spans="3:23" x14ac:dyDescent="0.2"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S460" s="25"/>
      <c r="T460" s="25"/>
      <c r="U460" s="25"/>
      <c r="V460" s="25"/>
      <c r="W460" s="25"/>
    </row>
    <row r="461" spans="3:23" x14ac:dyDescent="0.2"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S461" s="25"/>
      <c r="T461" s="25"/>
      <c r="U461" s="25"/>
      <c r="V461" s="25"/>
      <c r="W461" s="25"/>
    </row>
    <row r="462" spans="3:23" x14ac:dyDescent="0.2"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S462" s="25"/>
      <c r="T462" s="25"/>
      <c r="U462" s="25"/>
      <c r="V462" s="25"/>
      <c r="W462" s="25"/>
    </row>
    <row r="463" spans="3:23" x14ac:dyDescent="0.2"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S463" s="25"/>
      <c r="T463" s="25"/>
      <c r="U463" s="25"/>
      <c r="V463" s="25"/>
      <c r="W463" s="25"/>
    </row>
    <row r="464" spans="3:23" x14ac:dyDescent="0.2"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S464" s="25"/>
      <c r="T464" s="25"/>
      <c r="U464" s="25"/>
      <c r="V464" s="25"/>
      <c r="W464" s="25"/>
    </row>
    <row r="465" spans="3:23" x14ac:dyDescent="0.2"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S465" s="25"/>
      <c r="T465" s="25"/>
      <c r="U465" s="25"/>
      <c r="V465" s="25"/>
      <c r="W465" s="25"/>
    </row>
    <row r="466" spans="3:23" x14ac:dyDescent="0.2"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S466" s="25"/>
      <c r="T466" s="25"/>
      <c r="U466" s="25"/>
      <c r="V466" s="25"/>
      <c r="W466" s="25"/>
    </row>
    <row r="467" spans="3:23" x14ac:dyDescent="0.2"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S467" s="25"/>
      <c r="T467" s="25"/>
      <c r="U467" s="25"/>
      <c r="V467" s="25"/>
      <c r="W467" s="25"/>
    </row>
    <row r="468" spans="3:23" x14ac:dyDescent="0.2"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S468" s="25"/>
      <c r="T468" s="25"/>
      <c r="U468" s="25"/>
      <c r="V468" s="25"/>
      <c r="W468" s="25"/>
    </row>
    <row r="469" spans="3:23" x14ac:dyDescent="0.2"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S469" s="25"/>
      <c r="T469" s="25"/>
      <c r="U469" s="25"/>
      <c r="V469" s="25"/>
      <c r="W469" s="25"/>
    </row>
    <row r="470" spans="3:23" x14ac:dyDescent="0.2"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S470" s="25"/>
      <c r="T470" s="25"/>
      <c r="U470" s="25"/>
      <c r="V470" s="25"/>
      <c r="W470" s="25"/>
    </row>
    <row r="471" spans="3:23" x14ac:dyDescent="0.2"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S471" s="25"/>
      <c r="T471" s="25"/>
      <c r="U471" s="25"/>
      <c r="V471" s="25"/>
      <c r="W471" s="25"/>
    </row>
    <row r="472" spans="3:23" x14ac:dyDescent="0.2"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S472" s="25"/>
      <c r="T472" s="25"/>
      <c r="U472" s="25"/>
      <c r="V472" s="25"/>
      <c r="W472" s="25"/>
    </row>
    <row r="473" spans="3:23" x14ac:dyDescent="0.2"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S473" s="25"/>
      <c r="T473" s="25"/>
      <c r="U473" s="25"/>
      <c r="V473" s="25"/>
      <c r="W473" s="25"/>
    </row>
    <row r="474" spans="3:23" x14ac:dyDescent="0.2"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S474" s="25"/>
      <c r="T474" s="25"/>
      <c r="U474" s="25"/>
      <c r="V474" s="25"/>
      <c r="W474" s="25"/>
    </row>
    <row r="475" spans="3:23" x14ac:dyDescent="0.2"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S475" s="25"/>
      <c r="T475" s="25"/>
      <c r="U475" s="25"/>
      <c r="V475" s="25"/>
      <c r="W475" s="25"/>
    </row>
    <row r="476" spans="3:23" x14ac:dyDescent="0.2"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S476" s="25"/>
      <c r="T476" s="25"/>
      <c r="U476" s="25"/>
      <c r="V476" s="25"/>
      <c r="W476" s="25"/>
    </row>
    <row r="477" spans="3:23" x14ac:dyDescent="0.2"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S477" s="25"/>
      <c r="T477" s="25"/>
      <c r="U477" s="25"/>
      <c r="V477" s="25"/>
      <c r="W477" s="25"/>
    </row>
    <row r="478" spans="3:23" x14ac:dyDescent="0.2"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S478" s="25"/>
      <c r="T478" s="25"/>
      <c r="U478" s="25"/>
      <c r="V478" s="25"/>
      <c r="W478" s="25"/>
    </row>
    <row r="479" spans="3:23" x14ac:dyDescent="0.2"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S479" s="25"/>
      <c r="T479" s="25"/>
      <c r="U479" s="25"/>
      <c r="V479" s="25"/>
      <c r="W479" s="25"/>
    </row>
    <row r="480" spans="3:23" x14ac:dyDescent="0.2"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S480" s="25"/>
      <c r="T480" s="25"/>
      <c r="U480" s="25"/>
      <c r="V480" s="25"/>
      <c r="W480" s="25"/>
    </row>
    <row r="481" spans="3:23" x14ac:dyDescent="0.2"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S481" s="25"/>
      <c r="T481" s="25"/>
      <c r="U481" s="25"/>
      <c r="V481" s="25"/>
      <c r="W481" s="25"/>
    </row>
    <row r="482" spans="3:23" x14ac:dyDescent="0.2"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S482" s="25"/>
      <c r="T482" s="25"/>
      <c r="U482" s="25"/>
      <c r="V482" s="25"/>
      <c r="W482" s="25"/>
    </row>
    <row r="483" spans="3:23" x14ac:dyDescent="0.2"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S483" s="25"/>
      <c r="T483" s="25"/>
      <c r="U483" s="25"/>
      <c r="V483" s="25"/>
      <c r="W483" s="25"/>
    </row>
    <row r="484" spans="3:23" x14ac:dyDescent="0.2"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S484" s="25"/>
      <c r="T484" s="25"/>
      <c r="U484" s="25"/>
      <c r="V484" s="25"/>
      <c r="W484" s="25"/>
    </row>
    <row r="485" spans="3:23" x14ac:dyDescent="0.2"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S485" s="25"/>
      <c r="T485" s="25"/>
      <c r="U485" s="25"/>
      <c r="V485" s="25"/>
      <c r="W485" s="25"/>
    </row>
    <row r="486" spans="3:23" x14ac:dyDescent="0.2"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S486" s="25"/>
      <c r="T486" s="25"/>
      <c r="U486" s="25"/>
      <c r="V486" s="25"/>
      <c r="W486" s="25"/>
    </row>
    <row r="487" spans="3:23" x14ac:dyDescent="0.2"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S487" s="25"/>
      <c r="T487" s="25"/>
      <c r="U487" s="25"/>
      <c r="V487" s="25"/>
      <c r="W487" s="25"/>
    </row>
    <row r="488" spans="3:23" x14ac:dyDescent="0.2"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S488" s="25"/>
      <c r="T488" s="25"/>
      <c r="U488" s="25"/>
      <c r="V488" s="25"/>
      <c r="W488" s="25"/>
    </row>
    <row r="489" spans="3:23" x14ac:dyDescent="0.2"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S489" s="25"/>
      <c r="T489" s="25"/>
      <c r="U489" s="25"/>
      <c r="V489" s="25"/>
      <c r="W489" s="25"/>
    </row>
    <row r="490" spans="3:23" x14ac:dyDescent="0.2"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S490" s="25"/>
      <c r="T490" s="25"/>
      <c r="U490" s="25"/>
      <c r="V490" s="25"/>
      <c r="W490" s="25"/>
    </row>
    <row r="491" spans="3:23" x14ac:dyDescent="0.2"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S491" s="25"/>
      <c r="T491" s="25"/>
      <c r="U491" s="25"/>
      <c r="V491" s="25"/>
      <c r="W491" s="25"/>
    </row>
    <row r="492" spans="3:23" x14ac:dyDescent="0.2"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S492" s="25"/>
      <c r="T492" s="25"/>
      <c r="U492" s="25"/>
      <c r="V492" s="25"/>
      <c r="W492" s="25"/>
    </row>
    <row r="493" spans="3:23" x14ac:dyDescent="0.2"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S493" s="25"/>
      <c r="T493" s="25"/>
      <c r="U493" s="25"/>
      <c r="V493" s="25"/>
      <c r="W493" s="25"/>
    </row>
    <row r="494" spans="3:23" x14ac:dyDescent="0.2"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S494" s="25"/>
      <c r="T494" s="25"/>
      <c r="U494" s="25"/>
      <c r="V494" s="25"/>
      <c r="W494" s="25"/>
    </row>
    <row r="495" spans="3:23" x14ac:dyDescent="0.2"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S495" s="25"/>
      <c r="T495" s="25"/>
      <c r="U495" s="25"/>
      <c r="V495" s="25"/>
      <c r="W495" s="25"/>
    </row>
    <row r="496" spans="3:23" x14ac:dyDescent="0.2"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S496" s="25"/>
      <c r="T496" s="25"/>
      <c r="U496" s="25"/>
      <c r="V496" s="25"/>
      <c r="W496" s="25"/>
    </row>
    <row r="497" spans="3:23" x14ac:dyDescent="0.2"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S497" s="25"/>
      <c r="T497" s="25"/>
      <c r="U497" s="25"/>
      <c r="V497" s="25"/>
      <c r="W497" s="25"/>
    </row>
    <row r="498" spans="3:23" x14ac:dyDescent="0.2"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S498" s="25"/>
      <c r="T498" s="25"/>
      <c r="U498" s="25"/>
      <c r="V498" s="25"/>
      <c r="W498" s="25"/>
    </row>
    <row r="499" spans="3:23" x14ac:dyDescent="0.2"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S499" s="25"/>
      <c r="T499" s="25"/>
      <c r="U499" s="25"/>
      <c r="V499" s="25"/>
      <c r="W499" s="25"/>
    </row>
    <row r="500" spans="3:23" x14ac:dyDescent="0.2"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S500" s="25"/>
      <c r="T500" s="25"/>
      <c r="U500" s="25"/>
      <c r="V500" s="25"/>
      <c r="W500" s="25"/>
    </row>
    <row r="501" spans="3:23" x14ac:dyDescent="0.2"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</row>
    <row r="502" spans="3:23" x14ac:dyDescent="0.2"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3:23" x14ac:dyDescent="0.2"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</row>
    <row r="504" spans="3:23" x14ac:dyDescent="0.2"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3:23" x14ac:dyDescent="0.2"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</row>
    <row r="506" spans="3:23" x14ac:dyDescent="0.2"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3:23" x14ac:dyDescent="0.2"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</row>
    <row r="508" spans="3:23" x14ac:dyDescent="0.2"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3:23" x14ac:dyDescent="0.2"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</row>
    <row r="510" spans="3:23" x14ac:dyDescent="0.2"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3:23" x14ac:dyDescent="0.2"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</row>
    <row r="512" spans="3:23" x14ac:dyDescent="0.2"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3:13" x14ac:dyDescent="0.2"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</row>
    <row r="514" spans="3:13" x14ac:dyDescent="0.2"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3:13" x14ac:dyDescent="0.2"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</row>
    <row r="516" spans="3:13" x14ac:dyDescent="0.2"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3:13" x14ac:dyDescent="0.2"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</row>
    <row r="518" spans="3:13" x14ac:dyDescent="0.2"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3:13" x14ac:dyDescent="0.2"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</row>
    <row r="520" spans="3:13" x14ac:dyDescent="0.2"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3:13" x14ac:dyDescent="0.2"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</row>
    <row r="522" spans="3:13" x14ac:dyDescent="0.2"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3:13" x14ac:dyDescent="0.2"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</row>
    <row r="524" spans="3:13" x14ac:dyDescent="0.2"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3:13" x14ac:dyDescent="0.2"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</row>
    <row r="526" spans="3:13" x14ac:dyDescent="0.2"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3:13" x14ac:dyDescent="0.2"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</row>
    <row r="528" spans="3:13" x14ac:dyDescent="0.2"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3:13" x14ac:dyDescent="0.2"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</row>
    <row r="530" spans="3:13" x14ac:dyDescent="0.2"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3:13" x14ac:dyDescent="0.2"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</row>
    <row r="532" spans="3:13" x14ac:dyDescent="0.2"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3:13" x14ac:dyDescent="0.2"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</row>
    <row r="534" spans="3:13" x14ac:dyDescent="0.2"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3:13" x14ac:dyDescent="0.2"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</row>
    <row r="536" spans="3:13" x14ac:dyDescent="0.2"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3:13" x14ac:dyDescent="0.2"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</row>
    <row r="538" spans="3:13" x14ac:dyDescent="0.2"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3:13" x14ac:dyDescent="0.2"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</row>
    <row r="540" spans="3:13" x14ac:dyDescent="0.2"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3:13" x14ac:dyDescent="0.2"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</row>
    <row r="542" spans="3:13" x14ac:dyDescent="0.2"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3:13" x14ac:dyDescent="0.2"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</row>
    <row r="544" spans="3:13" x14ac:dyDescent="0.2"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3:13" x14ac:dyDescent="0.2"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</row>
    <row r="546" spans="3:13" x14ac:dyDescent="0.2"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3:13" x14ac:dyDescent="0.2"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</row>
    <row r="548" spans="3:13" x14ac:dyDescent="0.2"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3:13" x14ac:dyDescent="0.2"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</row>
    <row r="550" spans="3:13" x14ac:dyDescent="0.2"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3:13" x14ac:dyDescent="0.2"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</row>
    <row r="552" spans="3:13" x14ac:dyDescent="0.2"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3:13" x14ac:dyDescent="0.2"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</row>
    <row r="554" spans="3:13" x14ac:dyDescent="0.2"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3:13" x14ac:dyDescent="0.2"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</row>
    <row r="556" spans="3:13" x14ac:dyDescent="0.2"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3:13" x14ac:dyDescent="0.2"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</row>
    <row r="558" spans="3:13" x14ac:dyDescent="0.2"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3:13" x14ac:dyDescent="0.2"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</row>
    <row r="560" spans="3:13" x14ac:dyDescent="0.2"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3:13" x14ac:dyDescent="0.2"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</row>
    <row r="562" spans="3:13" x14ac:dyDescent="0.2"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3:13" x14ac:dyDescent="0.2"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</row>
    <row r="564" spans="3:13" x14ac:dyDescent="0.2"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3:13" x14ac:dyDescent="0.2"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</row>
    <row r="566" spans="3:13" x14ac:dyDescent="0.2"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3:13" x14ac:dyDescent="0.2"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</row>
    <row r="568" spans="3:13" x14ac:dyDescent="0.2"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3:13" x14ac:dyDescent="0.2"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</row>
    <row r="570" spans="3:13" x14ac:dyDescent="0.2"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3:13" x14ac:dyDescent="0.2"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</row>
    <row r="572" spans="3:13" x14ac:dyDescent="0.2"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3:13" x14ac:dyDescent="0.2"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</row>
    <row r="574" spans="3:13" x14ac:dyDescent="0.2"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3:13" x14ac:dyDescent="0.2"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</row>
    <row r="576" spans="3:13" x14ac:dyDescent="0.2"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3:13" x14ac:dyDescent="0.2"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</row>
    <row r="578" spans="3:13" x14ac:dyDescent="0.2"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3:13" x14ac:dyDescent="0.2"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</row>
    <row r="580" spans="3:13" x14ac:dyDescent="0.2"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3:13" x14ac:dyDescent="0.2"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</row>
    <row r="582" spans="3:13" x14ac:dyDescent="0.2"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3:13" x14ac:dyDescent="0.2"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</row>
    <row r="584" spans="3:13" x14ac:dyDescent="0.2"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3:13" x14ac:dyDescent="0.2"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</row>
    <row r="586" spans="3:13" x14ac:dyDescent="0.2"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3:13" x14ac:dyDescent="0.2"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</row>
    <row r="588" spans="3:13" x14ac:dyDescent="0.2"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3:13" x14ac:dyDescent="0.2"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</row>
    <row r="590" spans="3:13" x14ac:dyDescent="0.2"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3:13" x14ac:dyDescent="0.2"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</row>
    <row r="592" spans="3:13" x14ac:dyDescent="0.2"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3:13" x14ac:dyDescent="0.2"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</row>
    <row r="594" spans="3:13" x14ac:dyDescent="0.2"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3:13" x14ac:dyDescent="0.2"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</row>
    <row r="596" spans="3:13" x14ac:dyDescent="0.2"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3:13" x14ac:dyDescent="0.2"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</row>
    <row r="598" spans="3:13" x14ac:dyDescent="0.2"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3:13" x14ac:dyDescent="0.2"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</row>
    <row r="600" spans="3:13" x14ac:dyDescent="0.2"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3:13" x14ac:dyDescent="0.2"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</row>
    <row r="602" spans="3:13" x14ac:dyDescent="0.2"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3:13" x14ac:dyDescent="0.2"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</row>
    <row r="604" spans="3:13" x14ac:dyDescent="0.2"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3:13" x14ac:dyDescent="0.2"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</row>
    <row r="606" spans="3:13" x14ac:dyDescent="0.2"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3:13" x14ac:dyDescent="0.2"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</row>
    <row r="608" spans="3:13" x14ac:dyDescent="0.2"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3:13" x14ac:dyDescent="0.2"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</row>
    <row r="610" spans="3:13" x14ac:dyDescent="0.2"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3:13" x14ac:dyDescent="0.2"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</row>
    <row r="612" spans="3:13" x14ac:dyDescent="0.2"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3:13" x14ac:dyDescent="0.2"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</row>
    <row r="614" spans="3:13" x14ac:dyDescent="0.2"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3:13" x14ac:dyDescent="0.2"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</row>
    <row r="616" spans="3:13" x14ac:dyDescent="0.2"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3:13" x14ac:dyDescent="0.2"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</row>
    <row r="618" spans="3:13" x14ac:dyDescent="0.2"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3:13" x14ac:dyDescent="0.2"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</row>
    <row r="620" spans="3:13" x14ac:dyDescent="0.2"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3:13" x14ac:dyDescent="0.2"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</row>
    <row r="622" spans="3:13" x14ac:dyDescent="0.2"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3:13" x14ac:dyDescent="0.2"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</row>
    <row r="624" spans="3:13" x14ac:dyDescent="0.2"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3:13" x14ac:dyDescent="0.2"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</row>
    <row r="626" spans="3:13" x14ac:dyDescent="0.2"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3:13" x14ac:dyDescent="0.2"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</row>
    <row r="628" spans="3:13" x14ac:dyDescent="0.2"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3:13" x14ac:dyDescent="0.2"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</row>
    <row r="630" spans="3:13" x14ac:dyDescent="0.2"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3:13" x14ac:dyDescent="0.2"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</row>
    <row r="632" spans="3:13" x14ac:dyDescent="0.2"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3:13" x14ac:dyDescent="0.2"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</row>
    <row r="634" spans="3:13" x14ac:dyDescent="0.2"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3:13" x14ac:dyDescent="0.2"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</row>
    <row r="636" spans="3:13" x14ac:dyDescent="0.2"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3:13" x14ac:dyDescent="0.2"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</row>
    <row r="638" spans="3:13" x14ac:dyDescent="0.2"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3:13" x14ac:dyDescent="0.2"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</row>
    <row r="640" spans="3:13" x14ac:dyDescent="0.2"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3:13" x14ac:dyDescent="0.2"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</row>
    <row r="642" spans="3:13" x14ac:dyDescent="0.2"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3:13" x14ac:dyDescent="0.2"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</row>
    <row r="644" spans="3:13" x14ac:dyDescent="0.2"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3:13" x14ac:dyDescent="0.2"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</row>
    <row r="646" spans="3:13" x14ac:dyDescent="0.2"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3:13" x14ac:dyDescent="0.2"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</row>
    <row r="648" spans="3:13" x14ac:dyDescent="0.2"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3:13" x14ac:dyDescent="0.2"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</row>
    <row r="650" spans="3:13" x14ac:dyDescent="0.2"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3:13" x14ac:dyDescent="0.2"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</row>
    <row r="652" spans="3:13" x14ac:dyDescent="0.2"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3:13" x14ac:dyDescent="0.2"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</row>
    <row r="654" spans="3:13" x14ac:dyDescent="0.2"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3:13" x14ac:dyDescent="0.2"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</row>
    <row r="656" spans="3:13" x14ac:dyDescent="0.2"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3:13" x14ac:dyDescent="0.2"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</row>
    <row r="658" spans="3:13" x14ac:dyDescent="0.2"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3:13" x14ac:dyDescent="0.2"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</row>
    <row r="660" spans="3:13" x14ac:dyDescent="0.2"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3:13" x14ac:dyDescent="0.2"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</row>
    <row r="662" spans="3:13" x14ac:dyDescent="0.2"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3:13" x14ac:dyDescent="0.2"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</row>
    <row r="664" spans="3:13" x14ac:dyDescent="0.2"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3:13" x14ac:dyDescent="0.2"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</row>
    <row r="666" spans="3:13" x14ac:dyDescent="0.2"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3:13" x14ac:dyDescent="0.2"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</row>
    <row r="668" spans="3:13" x14ac:dyDescent="0.2"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3:13" x14ac:dyDescent="0.2"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</row>
    <row r="670" spans="3:13" x14ac:dyDescent="0.2"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3:13" x14ac:dyDescent="0.2"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</row>
    <row r="672" spans="3:13" x14ac:dyDescent="0.2"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3:13" x14ac:dyDescent="0.2"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</row>
    <row r="674" spans="3:13" x14ac:dyDescent="0.2"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3:13" x14ac:dyDescent="0.2"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</row>
    <row r="676" spans="3:13" x14ac:dyDescent="0.2"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3:13" x14ac:dyDescent="0.2"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</row>
    <row r="678" spans="3:13" x14ac:dyDescent="0.2"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3:13" x14ac:dyDescent="0.2"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</row>
    <row r="680" spans="3:13" x14ac:dyDescent="0.2"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3:13" x14ac:dyDescent="0.2"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</row>
    <row r="682" spans="3:13" x14ac:dyDescent="0.2"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3:13" x14ac:dyDescent="0.2"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</row>
    <row r="684" spans="3:13" x14ac:dyDescent="0.2"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3:13" x14ac:dyDescent="0.2"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</row>
    <row r="686" spans="3:13" x14ac:dyDescent="0.2"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3:13" x14ac:dyDescent="0.2"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</row>
    <row r="688" spans="3:13" x14ac:dyDescent="0.2"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3:13" x14ac:dyDescent="0.2"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</row>
    <row r="690" spans="3:13" x14ac:dyDescent="0.2"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3:13" x14ac:dyDescent="0.2"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</row>
    <row r="692" spans="3:13" x14ac:dyDescent="0.2"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3:13" x14ac:dyDescent="0.2"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</row>
    <row r="694" spans="3:13" x14ac:dyDescent="0.2"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3:13" x14ac:dyDescent="0.2"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</row>
    <row r="696" spans="3:13" x14ac:dyDescent="0.2"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3:13" x14ac:dyDescent="0.2"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</row>
    <row r="698" spans="3:13" x14ac:dyDescent="0.2"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3:13" x14ac:dyDescent="0.2"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</row>
    <row r="700" spans="3:13" x14ac:dyDescent="0.2"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3:13" x14ac:dyDescent="0.2"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</row>
    <row r="702" spans="3:13" x14ac:dyDescent="0.2"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3:13" x14ac:dyDescent="0.2"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</row>
    <row r="704" spans="3:13" x14ac:dyDescent="0.2"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3:13" x14ac:dyDescent="0.2"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</row>
    <row r="706" spans="3:13" x14ac:dyDescent="0.2"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3:13" x14ac:dyDescent="0.2"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</row>
    <row r="708" spans="3:13" x14ac:dyDescent="0.2"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3:13" x14ac:dyDescent="0.2"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</row>
    <row r="710" spans="3:13" x14ac:dyDescent="0.2"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3:13" x14ac:dyDescent="0.2"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</row>
    <row r="712" spans="3:13" x14ac:dyDescent="0.2"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3:13" x14ac:dyDescent="0.2"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</row>
    <row r="714" spans="3:13" x14ac:dyDescent="0.2"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3:13" x14ac:dyDescent="0.2"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</row>
    <row r="716" spans="3:13" x14ac:dyDescent="0.2"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3:13" x14ac:dyDescent="0.2"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</row>
    <row r="718" spans="3:13" x14ac:dyDescent="0.2"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3:13" x14ac:dyDescent="0.2"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</row>
    <row r="720" spans="3:13" x14ac:dyDescent="0.2"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3:13" x14ac:dyDescent="0.2"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</row>
    <row r="722" spans="3:13" x14ac:dyDescent="0.2"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3:13" x14ac:dyDescent="0.2"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</row>
    <row r="724" spans="3:13" x14ac:dyDescent="0.2"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3:13" x14ac:dyDescent="0.2"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</row>
    <row r="726" spans="3:13" x14ac:dyDescent="0.2"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3:13" x14ac:dyDescent="0.2"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</row>
    <row r="728" spans="3:13" x14ac:dyDescent="0.2"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3:13" x14ac:dyDescent="0.2"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</row>
    <row r="730" spans="3:13" x14ac:dyDescent="0.2"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3:13" x14ac:dyDescent="0.2"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</row>
    <row r="732" spans="3:13" x14ac:dyDescent="0.2"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3:13" x14ac:dyDescent="0.2"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</row>
    <row r="734" spans="3:13" x14ac:dyDescent="0.2"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3:13" x14ac:dyDescent="0.2"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</row>
    <row r="736" spans="3:13" x14ac:dyDescent="0.2"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3:13" x14ac:dyDescent="0.2"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</row>
    <row r="738" spans="3:13" x14ac:dyDescent="0.2"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3:13" x14ac:dyDescent="0.2"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</row>
    <row r="740" spans="3:13" x14ac:dyDescent="0.2"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3:13" x14ac:dyDescent="0.2"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</row>
    <row r="742" spans="3:13" x14ac:dyDescent="0.2"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3:13" x14ac:dyDescent="0.2"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</row>
    <row r="744" spans="3:13" x14ac:dyDescent="0.2"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3:13" x14ac:dyDescent="0.2"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</row>
    <row r="746" spans="3:13" x14ac:dyDescent="0.2"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3:13" x14ac:dyDescent="0.2"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</row>
    <row r="748" spans="3:13" x14ac:dyDescent="0.2"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3:13" x14ac:dyDescent="0.2"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</row>
    <row r="750" spans="3:13" x14ac:dyDescent="0.2"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3:13" x14ac:dyDescent="0.2"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</row>
    <row r="752" spans="3:13" x14ac:dyDescent="0.2"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3:13" x14ac:dyDescent="0.2"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</row>
    <row r="754" spans="3:13" x14ac:dyDescent="0.2"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3:13" x14ac:dyDescent="0.2"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</row>
    <row r="756" spans="3:13" x14ac:dyDescent="0.2"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3:13" x14ac:dyDescent="0.2"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</row>
    <row r="758" spans="3:13" x14ac:dyDescent="0.2"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3:13" x14ac:dyDescent="0.2"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</row>
    <row r="760" spans="3:13" x14ac:dyDescent="0.2"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3:13" x14ac:dyDescent="0.2"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</row>
    <row r="762" spans="3:13" x14ac:dyDescent="0.2"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3:13" x14ac:dyDescent="0.2"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</row>
    <row r="764" spans="3:13" x14ac:dyDescent="0.2"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3:13" x14ac:dyDescent="0.2"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</row>
    <row r="766" spans="3:13" x14ac:dyDescent="0.2"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3:13" x14ac:dyDescent="0.2"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</row>
    <row r="768" spans="3:13" x14ac:dyDescent="0.2"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3:13" x14ac:dyDescent="0.2"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</row>
    <row r="770" spans="3:13" x14ac:dyDescent="0.2"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3:13" x14ac:dyDescent="0.2"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</row>
    <row r="772" spans="3:13" x14ac:dyDescent="0.2"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3:13" x14ac:dyDescent="0.2"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</row>
    <row r="774" spans="3:13" x14ac:dyDescent="0.2"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3:13" x14ac:dyDescent="0.2"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</row>
    <row r="776" spans="3:13" x14ac:dyDescent="0.2"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3:13" x14ac:dyDescent="0.2"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</row>
    <row r="778" spans="3:13" x14ac:dyDescent="0.2"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3:13" x14ac:dyDescent="0.2"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</row>
    <row r="780" spans="3:13" x14ac:dyDescent="0.2"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3:13" x14ac:dyDescent="0.2"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</row>
    <row r="782" spans="3:13" x14ac:dyDescent="0.2"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3:13" x14ac:dyDescent="0.2"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</row>
    <row r="784" spans="3:13" x14ac:dyDescent="0.2"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3:13" x14ac:dyDescent="0.2"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</row>
    <row r="786" spans="3:13" x14ac:dyDescent="0.2"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3:13" x14ac:dyDescent="0.2"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</row>
    <row r="788" spans="3:13" x14ac:dyDescent="0.2"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3:13" x14ac:dyDescent="0.2"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</row>
    <row r="790" spans="3:13" x14ac:dyDescent="0.2"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3:13" x14ac:dyDescent="0.2"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</row>
    <row r="792" spans="3:13" x14ac:dyDescent="0.2"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3:13" x14ac:dyDescent="0.2"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</row>
    <row r="794" spans="3:13" x14ac:dyDescent="0.2"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3:13" x14ac:dyDescent="0.2"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</row>
    <row r="796" spans="3:13" x14ac:dyDescent="0.2"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3:13" x14ac:dyDescent="0.2"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</row>
    <row r="798" spans="3:13" x14ac:dyDescent="0.2"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3:13" x14ac:dyDescent="0.2"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</row>
    <row r="800" spans="3:13" x14ac:dyDescent="0.2"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3:13" x14ac:dyDescent="0.2"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</row>
    <row r="802" spans="3:13" x14ac:dyDescent="0.2"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3:13" x14ac:dyDescent="0.2"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</row>
    <row r="804" spans="3:13" x14ac:dyDescent="0.2"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3:13" x14ac:dyDescent="0.2"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</row>
    <row r="806" spans="3:13" x14ac:dyDescent="0.2"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3:13" x14ac:dyDescent="0.2"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</row>
    <row r="808" spans="3:13" x14ac:dyDescent="0.2"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3:13" x14ac:dyDescent="0.2"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</row>
    <row r="810" spans="3:13" x14ac:dyDescent="0.2"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3:13" x14ac:dyDescent="0.2"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</row>
    <row r="812" spans="3:13" x14ac:dyDescent="0.2"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3:13" x14ac:dyDescent="0.2"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</row>
    <row r="814" spans="3:13" x14ac:dyDescent="0.2"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3:13" x14ac:dyDescent="0.2"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</row>
    <row r="816" spans="3:13" x14ac:dyDescent="0.2"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3:13" x14ac:dyDescent="0.2"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</row>
    <row r="818" spans="3:13" x14ac:dyDescent="0.2"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3:13" x14ac:dyDescent="0.2"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</row>
    <row r="820" spans="3:13" x14ac:dyDescent="0.2"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3:13" x14ac:dyDescent="0.2"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</row>
    <row r="822" spans="3:13" x14ac:dyDescent="0.2"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3:13" x14ac:dyDescent="0.2"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</row>
    <row r="824" spans="3:13" x14ac:dyDescent="0.2"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3:13" x14ac:dyDescent="0.2"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</row>
    <row r="826" spans="3:13" x14ac:dyDescent="0.2"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3:13" x14ac:dyDescent="0.2"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</row>
    <row r="828" spans="3:13" x14ac:dyDescent="0.2"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3:13" x14ac:dyDescent="0.2"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</row>
    <row r="830" spans="3:13" x14ac:dyDescent="0.2"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3:13" x14ac:dyDescent="0.2"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</row>
    <row r="832" spans="3:13" x14ac:dyDescent="0.2"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3:13" x14ac:dyDescent="0.2"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</row>
    <row r="834" spans="3:13" x14ac:dyDescent="0.2"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3:13" x14ac:dyDescent="0.2"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</row>
    <row r="836" spans="3:13" x14ac:dyDescent="0.2"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3:13" x14ac:dyDescent="0.2"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</row>
    <row r="838" spans="3:13" x14ac:dyDescent="0.2"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3:13" x14ac:dyDescent="0.2"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</row>
    <row r="840" spans="3:13" x14ac:dyDescent="0.2"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3:13" x14ac:dyDescent="0.2"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</row>
    <row r="842" spans="3:13" x14ac:dyDescent="0.2"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3:13" x14ac:dyDescent="0.2"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</row>
    <row r="844" spans="3:13" x14ac:dyDescent="0.2"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3:13" x14ac:dyDescent="0.2"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</row>
    <row r="846" spans="3:13" x14ac:dyDescent="0.2"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3:13" x14ac:dyDescent="0.2"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</row>
    <row r="848" spans="3:13" x14ac:dyDescent="0.2"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3:13" x14ac:dyDescent="0.2"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</row>
    <row r="850" spans="3:13" x14ac:dyDescent="0.2"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3:13" x14ac:dyDescent="0.2"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</row>
    <row r="852" spans="3:13" x14ac:dyDescent="0.2"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3:13" x14ac:dyDescent="0.2"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</row>
    <row r="854" spans="3:13" x14ac:dyDescent="0.2"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3:13" x14ac:dyDescent="0.2"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</row>
    <row r="856" spans="3:13" x14ac:dyDescent="0.2"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3:13" x14ac:dyDescent="0.2"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</row>
    <row r="858" spans="3:13" x14ac:dyDescent="0.2"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3:13" x14ac:dyDescent="0.2"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</row>
    <row r="860" spans="3:13" x14ac:dyDescent="0.2"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3:13" x14ac:dyDescent="0.2"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</row>
    <row r="862" spans="3:13" x14ac:dyDescent="0.2"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3:13" x14ac:dyDescent="0.2"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</row>
    <row r="864" spans="3:13" x14ac:dyDescent="0.2"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3:13" x14ac:dyDescent="0.2"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</row>
    <row r="866" spans="3:13" x14ac:dyDescent="0.2"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3:13" x14ac:dyDescent="0.2"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</row>
    <row r="868" spans="3:13" x14ac:dyDescent="0.2"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3:13" x14ac:dyDescent="0.2"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</row>
    <row r="870" spans="3:13" x14ac:dyDescent="0.2"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3:13" x14ac:dyDescent="0.2"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</row>
    <row r="872" spans="3:13" x14ac:dyDescent="0.2"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3:13" x14ac:dyDescent="0.2"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</row>
    <row r="874" spans="3:13" x14ac:dyDescent="0.2"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3:13" x14ac:dyDescent="0.2"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</row>
    <row r="876" spans="3:13" x14ac:dyDescent="0.2"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3:13" x14ac:dyDescent="0.2"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</row>
    <row r="878" spans="3:13" x14ac:dyDescent="0.2"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3:13" x14ac:dyDescent="0.2"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</row>
    <row r="880" spans="3:13" x14ac:dyDescent="0.2"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3:13" x14ac:dyDescent="0.2"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</row>
    <row r="882" spans="3:13" x14ac:dyDescent="0.2"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3:13" x14ac:dyDescent="0.2"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</row>
    <row r="884" spans="3:13" x14ac:dyDescent="0.2"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3:13" x14ac:dyDescent="0.2"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</row>
    <row r="886" spans="3:13" x14ac:dyDescent="0.2"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3:13" x14ac:dyDescent="0.2"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</row>
    <row r="888" spans="3:13" x14ac:dyDescent="0.2"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3:13" x14ac:dyDescent="0.2"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</row>
    <row r="890" spans="3:13" x14ac:dyDescent="0.2"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3:13" x14ac:dyDescent="0.2"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</row>
    <row r="892" spans="3:13" x14ac:dyDescent="0.2"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3:13" x14ac:dyDescent="0.2"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</row>
    <row r="894" spans="3:13" x14ac:dyDescent="0.2"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3:13" x14ac:dyDescent="0.2"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</row>
    <row r="896" spans="3:13" x14ac:dyDescent="0.2"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3:13" x14ac:dyDescent="0.2"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</row>
    <row r="898" spans="3:13" x14ac:dyDescent="0.2"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3:13" x14ac:dyDescent="0.2"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</row>
    <row r="900" spans="3:13" x14ac:dyDescent="0.2"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3:13" x14ac:dyDescent="0.2"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</row>
    <row r="902" spans="3:13" x14ac:dyDescent="0.2"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3:13" x14ac:dyDescent="0.2"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</row>
    <row r="904" spans="3:13" x14ac:dyDescent="0.2"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3:13" x14ac:dyDescent="0.2"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</row>
    <row r="906" spans="3:13" x14ac:dyDescent="0.2"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3:13" x14ac:dyDescent="0.2"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</row>
    <row r="908" spans="3:13" x14ac:dyDescent="0.2"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3:13" x14ac:dyDescent="0.2"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</row>
    <row r="910" spans="3:13" x14ac:dyDescent="0.2"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3:13" x14ac:dyDescent="0.2"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</row>
    <row r="912" spans="3:13" x14ac:dyDescent="0.2"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3:13" x14ac:dyDescent="0.2"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</row>
    <row r="914" spans="3:13" x14ac:dyDescent="0.2"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3:13" x14ac:dyDescent="0.2"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</row>
    <row r="916" spans="3:13" x14ac:dyDescent="0.2"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3:13" x14ac:dyDescent="0.2"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</row>
    <row r="918" spans="3:13" x14ac:dyDescent="0.2"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3:13" x14ac:dyDescent="0.2"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</row>
    <row r="920" spans="3:13" x14ac:dyDescent="0.2"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3:13" x14ac:dyDescent="0.2"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</row>
    <row r="922" spans="3:13" x14ac:dyDescent="0.2"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3:13" x14ac:dyDescent="0.2"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</row>
    <row r="924" spans="3:13" x14ac:dyDescent="0.2"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3:13" x14ac:dyDescent="0.2"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</row>
    <row r="926" spans="3:13" x14ac:dyDescent="0.2"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3:13" x14ac:dyDescent="0.2"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</row>
    <row r="928" spans="3:13" x14ac:dyDescent="0.2"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3:13" x14ac:dyDescent="0.2"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</row>
    <row r="930" spans="3:13" x14ac:dyDescent="0.2"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3:13" x14ac:dyDescent="0.2"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</row>
    <row r="932" spans="3:13" x14ac:dyDescent="0.2"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3:13" x14ac:dyDescent="0.2"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</row>
    <row r="934" spans="3:13" x14ac:dyDescent="0.2"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3:13" x14ac:dyDescent="0.2"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</row>
    <row r="936" spans="3:13" x14ac:dyDescent="0.2"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3:13" x14ac:dyDescent="0.2"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</row>
    <row r="938" spans="3:13" x14ac:dyDescent="0.2"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3:13" x14ac:dyDescent="0.2"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</row>
    <row r="940" spans="3:13" x14ac:dyDescent="0.2"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3:13" x14ac:dyDescent="0.2"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</row>
    <row r="942" spans="3:13" x14ac:dyDescent="0.2"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3:13" x14ac:dyDescent="0.2"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</row>
    <row r="944" spans="3:13" x14ac:dyDescent="0.2"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3:13" x14ac:dyDescent="0.2"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</row>
    <row r="946" spans="3:13" x14ac:dyDescent="0.2"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3:13" x14ac:dyDescent="0.2"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</row>
    <row r="948" spans="3:13" x14ac:dyDescent="0.2"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3:13" x14ac:dyDescent="0.2"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</row>
    <row r="950" spans="3:13" x14ac:dyDescent="0.2"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3:13" x14ac:dyDescent="0.2"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</row>
    <row r="952" spans="3:13" x14ac:dyDescent="0.2"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3:13" x14ac:dyDescent="0.2"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</row>
    <row r="954" spans="3:13" x14ac:dyDescent="0.2"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3:13" x14ac:dyDescent="0.2"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</row>
    <row r="956" spans="3:13" x14ac:dyDescent="0.2"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3:13" x14ac:dyDescent="0.2"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</row>
    <row r="958" spans="3:13" x14ac:dyDescent="0.2"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3:13" x14ac:dyDescent="0.2"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</row>
    <row r="960" spans="3:13" x14ac:dyDescent="0.2"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3:13" x14ac:dyDescent="0.2"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</row>
    <row r="962" spans="3:13" x14ac:dyDescent="0.2"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3:13" x14ac:dyDescent="0.2"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</row>
    <row r="964" spans="3:13" x14ac:dyDescent="0.2"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3:13" x14ac:dyDescent="0.2"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</row>
    <row r="966" spans="3:13" x14ac:dyDescent="0.2"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3:13" x14ac:dyDescent="0.2"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</row>
    <row r="968" spans="3:13" x14ac:dyDescent="0.2"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3:13" x14ac:dyDescent="0.2"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</row>
    <row r="970" spans="3:13" x14ac:dyDescent="0.2"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3:13" x14ac:dyDescent="0.2"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</row>
    <row r="972" spans="3:13" x14ac:dyDescent="0.2"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3:13" x14ac:dyDescent="0.2"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</row>
    <row r="974" spans="3:13" x14ac:dyDescent="0.2"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3:13" x14ac:dyDescent="0.2"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</row>
    <row r="976" spans="3:13" x14ac:dyDescent="0.2"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3:13" x14ac:dyDescent="0.2"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</row>
    <row r="978" spans="3:13" x14ac:dyDescent="0.2"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3:13" x14ac:dyDescent="0.2"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</row>
    <row r="980" spans="3:13" x14ac:dyDescent="0.2"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3:13" x14ac:dyDescent="0.2"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</row>
    <row r="982" spans="3:13" x14ac:dyDescent="0.2"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3:13" x14ac:dyDescent="0.2"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</row>
    <row r="984" spans="3:13" x14ac:dyDescent="0.2"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3:13" x14ac:dyDescent="0.2"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</row>
    <row r="986" spans="3:13" x14ac:dyDescent="0.2"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3:13" x14ac:dyDescent="0.2"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</row>
    <row r="988" spans="3:13" x14ac:dyDescent="0.2"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3:13" x14ac:dyDescent="0.2"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</row>
    <row r="990" spans="3:13" x14ac:dyDescent="0.2"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3:13" x14ac:dyDescent="0.2"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</row>
    <row r="992" spans="3:13" x14ac:dyDescent="0.2"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3:13" x14ac:dyDescent="0.2"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</row>
    <row r="994" spans="3:13" x14ac:dyDescent="0.2"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3:13" x14ac:dyDescent="0.2"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</row>
    <row r="996" spans="3:13" x14ac:dyDescent="0.2"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3:13" x14ac:dyDescent="0.2"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</row>
    <row r="998" spans="3:13" x14ac:dyDescent="0.2"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3:13" x14ac:dyDescent="0.2"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</row>
    <row r="1000" spans="3:13" x14ac:dyDescent="0.2"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3:13" x14ac:dyDescent="0.2">
      <c r="C1001" s="25"/>
      <c r="D1001" s="25"/>
      <c r="E1001" s="25"/>
      <c r="F1001" s="25"/>
      <c r="G1001" s="25"/>
      <c r="H1001" s="25"/>
      <c r="I1001" s="25"/>
      <c r="J1001" s="25"/>
      <c r="K1001" s="25"/>
      <c r="L1001" s="25"/>
      <c r="M1001" s="25"/>
    </row>
    <row r="1002" spans="3:13" x14ac:dyDescent="0.2"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3:13" x14ac:dyDescent="0.2">
      <c r="C1003" s="25"/>
      <c r="D1003" s="25"/>
      <c r="E1003" s="25"/>
      <c r="F1003" s="25"/>
      <c r="G1003" s="25"/>
      <c r="H1003" s="25"/>
      <c r="I1003" s="25"/>
      <c r="J1003" s="25"/>
      <c r="K1003" s="25"/>
      <c r="L1003" s="25"/>
      <c r="M1003" s="25"/>
    </row>
    <row r="1004" spans="3:13" x14ac:dyDescent="0.2"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3:13" x14ac:dyDescent="0.2">
      <c r="C1005" s="25"/>
      <c r="D1005" s="25"/>
      <c r="E1005" s="25"/>
      <c r="F1005" s="25"/>
      <c r="G1005" s="25"/>
      <c r="H1005" s="25"/>
      <c r="I1005" s="25"/>
      <c r="J1005" s="25"/>
      <c r="K1005" s="25"/>
      <c r="L1005" s="25"/>
      <c r="M1005" s="25"/>
    </row>
    <row r="1006" spans="3:13" x14ac:dyDescent="0.2"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3:13" x14ac:dyDescent="0.2">
      <c r="C1007" s="25"/>
      <c r="D1007" s="25"/>
      <c r="E1007" s="25"/>
      <c r="F1007" s="25"/>
      <c r="G1007" s="25"/>
      <c r="H1007" s="25"/>
      <c r="I1007" s="25"/>
      <c r="J1007" s="25"/>
      <c r="K1007" s="25"/>
      <c r="L1007" s="25"/>
      <c r="M1007" s="25"/>
    </row>
    <row r="1008" spans="3:13" x14ac:dyDescent="0.2"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3:13" x14ac:dyDescent="0.2">
      <c r="C1009" s="25"/>
      <c r="D1009" s="25"/>
      <c r="E1009" s="25"/>
      <c r="F1009" s="25"/>
      <c r="G1009" s="25"/>
      <c r="H1009" s="25"/>
      <c r="I1009" s="25"/>
      <c r="J1009" s="25"/>
      <c r="K1009" s="25"/>
      <c r="L1009" s="25"/>
      <c r="M1009" s="25"/>
    </row>
    <row r="1010" spans="3:13" x14ac:dyDescent="0.2"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3:13" x14ac:dyDescent="0.2">
      <c r="C1011" s="25"/>
      <c r="D1011" s="25"/>
      <c r="E1011" s="25"/>
      <c r="F1011" s="25"/>
      <c r="G1011" s="25"/>
      <c r="H1011" s="25"/>
      <c r="I1011" s="25"/>
      <c r="J1011" s="25"/>
      <c r="K1011" s="25"/>
      <c r="L1011" s="25"/>
      <c r="M1011" s="25"/>
    </row>
    <row r="1012" spans="3:13" x14ac:dyDescent="0.2"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3:13" x14ac:dyDescent="0.2">
      <c r="C1013" s="25"/>
      <c r="D1013" s="25"/>
      <c r="E1013" s="25"/>
      <c r="F1013" s="25"/>
      <c r="G1013" s="25"/>
      <c r="H1013" s="25"/>
      <c r="I1013" s="25"/>
      <c r="J1013" s="25"/>
      <c r="K1013" s="25"/>
      <c r="L1013" s="25"/>
      <c r="M1013" s="25"/>
    </row>
    <row r="1014" spans="3:13" x14ac:dyDescent="0.2"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3:13" x14ac:dyDescent="0.2">
      <c r="C1015" s="25"/>
      <c r="D1015" s="25"/>
      <c r="E1015" s="25"/>
      <c r="F1015" s="25"/>
      <c r="G1015" s="25"/>
      <c r="H1015" s="25"/>
      <c r="I1015" s="25"/>
      <c r="J1015" s="25"/>
      <c r="K1015" s="25"/>
      <c r="L1015" s="25"/>
      <c r="M1015" s="25"/>
    </row>
    <row r="1016" spans="3:13" x14ac:dyDescent="0.2"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3:13" x14ac:dyDescent="0.2">
      <c r="C1017" s="25"/>
      <c r="D1017" s="25"/>
      <c r="E1017" s="25"/>
      <c r="F1017" s="25"/>
      <c r="G1017" s="25"/>
      <c r="H1017" s="25"/>
      <c r="I1017" s="25"/>
      <c r="J1017" s="25"/>
      <c r="K1017" s="25"/>
      <c r="L1017" s="25"/>
      <c r="M1017" s="25"/>
    </row>
    <row r="1018" spans="3:13" x14ac:dyDescent="0.2"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3:13" x14ac:dyDescent="0.2">
      <c r="C1019" s="25"/>
      <c r="D1019" s="25"/>
      <c r="E1019" s="25"/>
      <c r="F1019" s="25"/>
      <c r="G1019" s="25"/>
      <c r="H1019" s="25"/>
      <c r="I1019" s="25"/>
      <c r="J1019" s="25"/>
      <c r="K1019" s="25"/>
      <c r="L1019" s="25"/>
      <c r="M1019" s="25"/>
    </row>
    <row r="1020" spans="3:13" x14ac:dyDescent="0.2"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3:13" x14ac:dyDescent="0.2">
      <c r="C1021" s="25"/>
      <c r="D1021" s="25"/>
      <c r="E1021" s="25"/>
      <c r="F1021" s="25"/>
      <c r="G1021" s="25"/>
      <c r="H1021" s="25"/>
      <c r="I1021" s="25"/>
      <c r="J1021" s="25"/>
      <c r="K1021" s="25"/>
      <c r="L1021" s="25"/>
      <c r="M1021" s="25"/>
    </row>
    <row r="1022" spans="3:13" x14ac:dyDescent="0.2"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3:13" x14ac:dyDescent="0.2">
      <c r="C1023" s="25"/>
      <c r="D1023" s="25"/>
      <c r="E1023" s="25"/>
      <c r="F1023" s="25"/>
      <c r="G1023" s="25"/>
      <c r="H1023" s="25"/>
      <c r="I1023" s="25"/>
      <c r="J1023" s="25"/>
      <c r="K1023" s="25"/>
      <c r="L1023" s="25"/>
      <c r="M1023" s="25"/>
    </row>
    <row r="1024" spans="3:13" x14ac:dyDescent="0.2"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3:13" x14ac:dyDescent="0.2">
      <c r="C1025" s="25"/>
      <c r="D1025" s="25"/>
      <c r="E1025" s="25"/>
      <c r="F1025" s="25"/>
      <c r="G1025" s="25"/>
      <c r="H1025" s="25"/>
      <c r="I1025" s="25"/>
      <c r="J1025" s="25"/>
      <c r="K1025" s="25"/>
      <c r="L1025" s="25"/>
      <c r="M1025" s="25"/>
    </row>
    <row r="1026" spans="3:13" x14ac:dyDescent="0.2"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3:13" x14ac:dyDescent="0.2">
      <c r="C1027" s="25"/>
      <c r="D1027" s="25"/>
      <c r="E1027" s="25"/>
      <c r="F1027" s="25"/>
      <c r="G1027" s="25"/>
      <c r="H1027" s="25"/>
      <c r="I1027" s="25"/>
      <c r="J1027" s="25"/>
      <c r="K1027" s="25"/>
      <c r="L1027" s="25"/>
      <c r="M1027" s="25"/>
    </row>
    <row r="1028" spans="3:13" x14ac:dyDescent="0.2"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3:13" x14ac:dyDescent="0.2">
      <c r="C1029" s="25"/>
      <c r="D1029" s="25"/>
      <c r="E1029" s="25"/>
      <c r="F1029" s="25"/>
      <c r="G1029" s="25"/>
      <c r="H1029" s="25"/>
      <c r="I1029" s="25"/>
      <c r="J1029" s="25"/>
      <c r="K1029" s="25"/>
      <c r="L1029" s="25"/>
      <c r="M1029" s="25"/>
    </row>
    <row r="1030" spans="3:13" x14ac:dyDescent="0.2"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3:13" x14ac:dyDescent="0.2">
      <c r="C1031" s="25"/>
      <c r="D1031" s="25"/>
      <c r="E1031" s="25"/>
      <c r="F1031" s="25"/>
      <c r="G1031" s="25"/>
      <c r="H1031" s="25"/>
      <c r="I1031" s="25"/>
      <c r="J1031" s="25"/>
      <c r="K1031" s="25"/>
      <c r="L1031" s="25"/>
      <c r="M1031" s="25"/>
    </row>
    <row r="1032" spans="3:13" x14ac:dyDescent="0.2"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3:13" x14ac:dyDescent="0.2">
      <c r="C1033" s="25"/>
      <c r="D1033" s="25"/>
      <c r="E1033" s="25"/>
      <c r="F1033" s="25"/>
      <c r="G1033" s="25"/>
      <c r="H1033" s="25"/>
      <c r="I1033" s="25"/>
      <c r="J1033" s="25"/>
      <c r="K1033" s="25"/>
      <c r="L1033" s="25"/>
      <c r="M1033" s="25"/>
    </row>
    <row r="1034" spans="3:13" x14ac:dyDescent="0.2"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3:13" x14ac:dyDescent="0.2">
      <c r="C1035" s="25"/>
      <c r="D1035" s="25"/>
      <c r="E1035" s="25"/>
      <c r="F1035" s="25"/>
      <c r="G1035" s="25"/>
      <c r="H1035" s="25"/>
      <c r="I1035" s="25"/>
      <c r="J1035" s="25"/>
      <c r="K1035" s="25"/>
      <c r="L1035" s="25"/>
      <c r="M1035" s="25"/>
    </row>
    <row r="1036" spans="3:13" x14ac:dyDescent="0.2"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3:13" x14ac:dyDescent="0.2">
      <c r="C1037" s="25"/>
      <c r="D1037" s="25"/>
      <c r="E1037" s="25"/>
      <c r="F1037" s="25"/>
      <c r="G1037" s="25"/>
      <c r="H1037" s="25"/>
      <c r="I1037" s="25"/>
      <c r="J1037" s="25"/>
      <c r="K1037" s="25"/>
      <c r="L1037" s="25"/>
      <c r="M1037" s="25"/>
    </row>
    <row r="1038" spans="3:13" x14ac:dyDescent="0.2"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3:13" x14ac:dyDescent="0.2">
      <c r="C1039" s="25"/>
      <c r="D1039" s="25"/>
      <c r="E1039" s="25"/>
      <c r="F1039" s="25"/>
      <c r="G1039" s="25"/>
      <c r="H1039" s="25"/>
      <c r="I1039" s="25"/>
      <c r="J1039" s="25"/>
      <c r="K1039" s="25"/>
      <c r="L1039" s="25"/>
      <c r="M1039" s="25"/>
    </row>
    <row r="1040" spans="3:13" x14ac:dyDescent="0.2"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3:13" x14ac:dyDescent="0.2">
      <c r="C1041" s="25"/>
      <c r="D1041" s="25"/>
      <c r="E1041" s="25"/>
      <c r="F1041" s="25"/>
      <c r="G1041" s="25"/>
      <c r="H1041" s="25"/>
      <c r="I1041" s="25"/>
      <c r="J1041" s="25"/>
      <c r="K1041" s="25"/>
      <c r="L1041" s="25"/>
      <c r="M1041" s="25"/>
    </row>
    <row r="1042" spans="3:13" x14ac:dyDescent="0.2"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3:13" x14ac:dyDescent="0.2">
      <c r="C1043" s="25"/>
      <c r="D1043" s="25"/>
      <c r="E1043" s="25"/>
      <c r="F1043" s="25"/>
      <c r="G1043" s="25"/>
      <c r="H1043" s="25"/>
      <c r="I1043" s="25"/>
      <c r="J1043" s="25"/>
      <c r="K1043" s="25"/>
      <c r="L1043" s="25"/>
      <c r="M1043" s="25"/>
    </row>
    <row r="1044" spans="3:13" x14ac:dyDescent="0.2"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3:13" x14ac:dyDescent="0.2">
      <c r="C1045" s="25"/>
      <c r="D1045" s="25"/>
      <c r="E1045" s="25"/>
      <c r="F1045" s="25"/>
      <c r="G1045" s="25"/>
      <c r="H1045" s="25"/>
      <c r="I1045" s="25"/>
      <c r="J1045" s="25"/>
      <c r="K1045" s="25"/>
      <c r="L1045" s="25"/>
      <c r="M1045" s="25"/>
    </row>
    <row r="1046" spans="3:13" x14ac:dyDescent="0.2"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3:13" x14ac:dyDescent="0.2">
      <c r="C1047" s="25"/>
      <c r="D1047" s="25"/>
      <c r="E1047" s="25"/>
      <c r="F1047" s="25"/>
      <c r="G1047" s="25"/>
      <c r="H1047" s="25"/>
      <c r="I1047" s="25"/>
      <c r="J1047" s="25"/>
      <c r="K1047" s="25"/>
      <c r="L1047" s="25"/>
      <c r="M1047" s="25"/>
    </row>
    <row r="1048" spans="3:13" x14ac:dyDescent="0.2"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3:13" x14ac:dyDescent="0.2">
      <c r="C1049" s="25"/>
      <c r="D1049" s="25"/>
      <c r="E1049" s="25"/>
      <c r="F1049" s="25"/>
      <c r="G1049" s="25"/>
      <c r="H1049" s="25"/>
      <c r="I1049" s="25"/>
      <c r="J1049" s="25"/>
      <c r="K1049" s="25"/>
      <c r="L1049" s="25"/>
      <c r="M1049" s="25"/>
    </row>
    <row r="1050" spans="3:13" x14ac:dyDescent="0.2"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3:13" x14ac:dyDescent="0.2">
      <c r="C1051" s="25"/>
      <c r="D1051" s="25"/>
      <c r="E1051" s="25"/>
      <c r="F1051" s="25"/>
      <c r="G1051" s="25"/>
      <c r="H1051" s="25"/>
      <c r="I1051" s="25"/>
      <c r="J1051" s="25"/>
      <c r="K1051" s="25"/>
      <c r="L1051" s="25"/>
      <c r="M1051" s="25"/>
    </row>
    <row r="1052" spans="3:13" x14ac:dyDescent="0.2"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3:13" x14ac:dyDescent="0.2">
      <c r="C1053" s="25"/>
      <c r="D1053" s="25"/>
      <c r="E1053" s="25"/>
      <c r="F1053" s="25"/>
      <c r="G1053" s="25"/>
      <c r="H1053" s="25"/>
      <c r="I1053" s="25"/>
      <c r="J1053" s="25"/>
      <c r="K1053" s="25"/>
      <c r="L1053" s="25"/>
      <c r="M1053" s="25"/>
    </row>
    <row r="1054" spans="3:13" x14ac:dyDescent="0.2"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3:13" x14ac:dyDescent="0.2">
      <c r="C1055" s="25"/>
      <c r="D1055" s="25"/>
      <c r="E1055" s="25"/>
      <c r="F1055" s="25"/>
      <c r="G1055" s="25"/>
      <c r="H1055" s="25"/>
      <c r="I1055" s="25"/>
      <c r="J1055" s="25"/>
      <c r="K1055" s="25"/>
      <c r="L1055" s="25"/>
      <c r="M1055" s="25"/>
    </row>
    <row r="1056" spans="3:13" x14ac:dyDescent="0.2"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3:13" x14ac:dyDescent="0.2">
      <c r="C1057" s="25"/>
      <c r="D1057" s="25"/>
      <c r="E1057" s="25"/>
      <c r="F1057" s="25"/>
      <c r="G1057" s="25"/>
      <c r="H1057" s="25"/>
      <c r="I1057" s="25"/>
      <c r="J1057" s="25"/>
      <c r="K1057" s="25"/>
      <c r="L1057" s="25"/>
      <c r="M1057" s="25"/>
    </row>
    <row r="1058" spans="3:13" x14ac:dyDescent="0.2"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3:13" x14ac:dyDescent="0.2">
      <c r="C1059" s="25"/>
      <c r="D1059" s="25"/>
      <c r="E1059" s="25"/>
      <c r="F1059" s="25"/>
      <c r="G1059" s="25"/>
      <c r="H1059" s="25"/>
      <c r="I1059" s="25"/>
      <c r="J1059" s="25"/>
      <c r="K1059" s="25"/>
      <c r="L1059" s="25"/>
      <c r="M1059" s="25"/>
    </row>
    <row r="1060" spans="3:13" x14ac:dyDescent="0.2"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3:13" x14ac:dyDescent="0.2">
      <c r="C1061" s="25"/>
      <c r="D1061" s="25"/>
      <c r="E1061" s="25"/>
      <c r="F1061" s="25"/>
      <c r="G1061" s="25"/>
      <c r="H1061" s="25"/>
      <c r="I1061" s="25"/>
      <c r="J1061" s="25"/>
      <c r="K1061" s="25"/>
      <c r="L1061" s="25"/>
      <c r="M1061" s="25"/>
    </row>
    <row r="1062" spans="3:13" x14ac:dyDescent="0.2"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3:13" x14ac:dyDescent="0.2">
      <c r="C1063" s="25"/>
      <c r="D1063" s="25"/>
      <c r="E1063" s="25"/>
      <c r="F1063" s="25"/>
      <c r="G1063" s="25"/>
      <c r="H1063" s="25"/>
      <c r="I1063" s="25"/>
      <c r="J1063" s="25"/>
      <c r="K1063" s="25"/>
      <c r="L1063" s="25"/>
      <c r="M1063" s="25"/>
    </row>
    <row r="1064" spans="3:13" x14ac:dyDescent="0.2"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3:13" x14ac:dyDescent="0.2">
      <c r="C1065" s="25"/>
      <c r="D1065" s="25"/>
      <c r="E1065" s="25"/>
      <c r="F1065" s="25"/>
      <c r="G1065" s="25"/>
      <c r="H1065" s="25"/>
      <c r="I1065" s="25"/>
      <c r="J1065" s="25"/>
      <c r="K1065" s="25"/>
      <c r="L1065" s="25"/>
      <c r="M1065" s="25"/>
    </row>
    <row r="1066" spans="3:13" x14ac:dyDescent="0.2"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3:13" x14ac:dyDescent="0.2">
      <c r="C1067" s="25"/>
      <c r="D1067" s="25"/>
      <c r="E1067" s="25"/>
      <c r="F1067" s="25"/>
      <c r="G1067" s="25"/>
      <c r="H1067" s="25"/>
      <c r="I1067" s="25"/>
      <c r="J1067" s="25"/>
      <c r="K1067" s="25"/>
      <c r="L1067" s="25"/>
      <c r="M1067" s="25"/>
    </row>
    <row r="1068" spans="3:13" x14ac:dyDescent="0.2"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3:13" x14ac:dyDescent="0.2">
      <c r="C1069" s="25"/>
      <c r="D1069" s="25"/>
      <c r="E1069" s="25"/>
      <c r="F1069" s="25"/>
      <c r="G1069" s="25"/>
      <c r="H1069" s="25"/>
      <c r="I1069" s="25"/>
      <c r="J1069" s="25"/>
      <c r="K1069" s="25"/>
      <c r="L1069" s="25"/>
      <c r="M1069" s="25"/>
    </row>
    <row r="1070" spans="3:13" x14ac:dyDescent="0.2"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3:13" x14ac:dyDescent="0.2">
      <c r="C1071" s="25"/>
      <c r="D1071" s="25"/>
      <c r="E1071" s="25"/>
      <c r="F1071" s="25"/>
      <c r="G1071" s="25"/>
      <c r="H1071" s="25"/>
      <c r="I1071" s="25"/>
      <c r="J1071" s="25"/>
      <c r="K1071" s="25"/>
      <c r="L1071" s="25"/>
      <c r="M1071" s="25"/>
    </row>
    <row r="1072" spans="3:13" x14ac:dyDescent="0.2"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3:13" x14ac:dyDescent="0.2">
      <c r="C1073" s="25"/>
      <c r="D1073" s="25"/>
      <c r="E1073" s="25"/>
      <c r="F1073" s="25"/>
      <c r="G1073" s="25"/>
      <c r="H1073" s="25"/>
      <c r="I1073" s="25"/>
      <c r="J1073" s="25"/>
      <c r="K1073" s="25"/>
      <c r="L1073" s="25"/>
      <c r="M1073" s="25"/>
    </row>
    <row r="1074" spans="3:13" x14ac:dyDescent="0.2"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3:13" x14ac:dyDescent="0.2">
      <c r="C1075" s="25"/>
      <c r="D1075" s="25"/>
      <c r="E1075" s="25"/>
      <c r="F1075" s="25"/>
      <c r="G1075" s="25"/>
      <c r="H1075" s="25"/>
      <c r="I1075" s="25"/>
      <c r="J1075" s="25"/>
      <c r="K1075" s="25"/>
      <c r="L1075" s="25"/>
      <c r="M1075" s="25"/>
    </row>
    <row r="1076" spans="3:13" x14ac:dyDescent="0.2"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3:13" x14ac:dyDescent="0.2">
      <c r="C1077" s="25"/>
      <c r="D1077" s="25"/>
      <c r="E1077" s="25"/>
      <c r="F1077" s="25"/>
      <c r="G1077" s="25"/>
      <c r="H1077" s="25"/>
      <c r="I1077" s="25"/>
      <c r="J1077" s="25"/>
      <c r="K1077" s="25"/>
      <c r="L1077" s="25"/>
      <c r="M1077" s="25"/>
    </row>
    <row r="1078" spans="3:13" x14ac:dyDescent="0.2"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3:13" x14ac:dyDescent="0.2">
      <c r="C1079" s="25"/>
      <c r="D1079" s="25"/>
      <c r="E1079" s="25"/>
      <c r="F1079" s="25"/>
      <c r="G1079" s="25"/>
      <c r="H1079" s="25"/>
      <c r="I1079" s="25"/>
      <c r="J1079" s="25"/>
      <c r="K1079" s="25"/>
      <c r="L1079" s="25"/>
      <c r="M1079" s="25"/>
    </row>
    <row r="1080" spans="3:13" x14ac:dyDescent="0.2"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3:13" x14ac:dyDescent="0.2">
      <c r="C1081" s="25"/>
      <c r="D1081" s="25"/>
      <c r="E1081" s="25"/>
      <c r="F1081" s="25"/>
      <c r="G1081" s="25"/>
      <c r="H1081" s="25"/>
      <c r="I1081" s="25"/>
      <c r="J1081" s="25"/>
      <c r="K1081" s="25"/>
      <c r="L1081" s="25"/>
      <c r="M1081" s="25"/>
    </row>
    <row r="1082" spans="3:13" x14ac:dyDescent="0.2"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3:13" x14ac:dyDescent="0.2">
      <c r="C1083" s="25"/>
      <c r="D1083" s="25"/>
      <c r="E1083" s="25"/>
      <c r="F1083" s="25"/>
      <c r="G1083" s="25"/>
      <c r="H1083" s="25"/>
      <c r="I1083" s="25"/>
      <c r="J1083" s="25"/>
      <c r="K1083" s="25"/>
      <c r="L1083" s="25"/>
      <c r="M1083" s="25"/>
    </row>
    <row r="1084" spans="3:13" x14ac:dyDescent="0.2"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3:13" x14ac:dyDescent="0.2">
      <c r="C1085" s="25"/>
      <c r="D1085" s="25"/>
      <c r="E1085" s="25"/>
      <c r="F1085" s="25"/>
      <c r="G1085" s="25"/>
      <c r="H1085" s="25"/>
      <c r="I1085" s="25"/>
      <c r="J1085" s="25"/>
      <c r="K1085" s="25"/>
      <c r="L1085" s="25"/>
      <c r="M1085" s="25"/>
    </row>
    <row r="1086" spans="3:13" x14ac:dyDescent="0.2"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3:13" x14ac:dyDescent="0.2">
      <c r="C1087" s="25"/>
      <c r="D1087" s="25"/>
      <c r="E1087" s="25"/>
      <c r="F1087" s="25"/>
      <c r="G1087" s="25"/>
      <c r="H1087" s="25"/>
      <c r="I1087" s="25"/>
      <c r="J1087" s="25"/>
      <c r="K1087" s="25"/>
      <c r="L1087" s="25"/>
      <c r="M1087" s="25"/>
    </row>
    <row r="1088" spans="3:13" x14ac:dyDescent="0.2"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3:13" x14ac:dyDescent="0.2">
      <c r="C1089" s="25"/>
      <c r="D1089" s="25"/>
      <c r="E1089" s="25"/>
      <c r="F1089" s="25"/>
      <c r="G1089" s="25"/>
      <c r="H1089" s="25"/>
      <c r="I1089" s="25"/>
      <c r="J1089" s="25"/>
      <c r="K1089" s="25"/>
      <c r="L1089" s="25"/>
      <c r="M1089" s="25"/>
    </row>
    <row r="1090" spans="3:13" x14ac:dyDescent="0.2"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3:13" x14ac:dyDescent="0.2">
      <c r="C1091" s="25"/>
      <c r="D1091" s="25"/>
      <c r="E1091" s="25"/>
      <c r="F1091" s="25"/>
      <c r="G1091" s="25"/>
      <c r="H1091" s="25"/>
      <c r="I1091" s="25"/>
      <c r="J1091" s="25"/>
      <c r="K1091" s="25"/>
      <c r="L1091" s="25"/>
      <c r="M1091" s="25"/>
    </row>
    <row r="1092" spans="3:13" x14ac:dyDescent="0.2"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3:13" x14ac:dyDescent="0.2">
      <c r="C1093" s="25"/>
      <c r="D1093" s="25"/>
      <c r="E1093" s="25"/>
      <c r="F1093" s="25"/>
      <c r="G1093" s="25"/>
      <c r="H1093" s="25"/>
      <c r="I1093" s="25"/>
      <c r="J1093" s="25"/>
      <c r="K1093" s="25"/>
      <c r="L1093" s="25"/>
      <c r="M1093" s="25"/>
    </row>
    <row r="1094" spans="3:13" x14ac:dyDescent="0.2"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3:13" x14ac:dyDescent="0.2">
      <c r="C1095" s="25"/>
      <c r="D1095" s="25"/>
      <c r="E1095" s="25"/>
      <c r="F1095" s="25"/>
      <c r="G1095" s="25"/>
      <c r="H1095" s="25"/>
      <c r="I1095" s="25"/>
      <c r="J1095" s="25"/>
      <c r="K1095" s="25"/>
      <c r="L1095" s="25"/>
      <c r="M1095" s="25"/>
    </row>
    <row r="1096" spans="3:13" x14ac:dyDescent="0.2"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3:13" x14ac:dyDescent="0.2">
      <c r="C1097" s="25"/>
      <c r="D1097" s="25"/>
      <c r="E1097" s="25"/>
      <c r="F1097" s="25"/>
      <c r="G1097" s="25"/>
      <c r="H1097" s="25"/>
      <c r="I1097" s="25"/>
      <c r="J1097" s="25"/>
      <c r="K1097" s="25"/>
      <c r="L1097" s="25"/>
      <c r="M1097" s="25"/>
    </row>
    <row r="1098" spans="3:13" x14ac:dyDescent="0.2"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3:13" x14ac:dyDescent="0.2">
      <c r="C1099" s="25"/>
      <c r="D1099" s="25"/>
      <c r="E1099" s="25"/>
      <c r="F1099" s="25"/>
      <c r="G1099" s="25"/>
      <c r="H1099" s="25"/>
      <c r="I1099" s="25"/>
      <c r="J1099" s="25"/>
      <c r="K1099" s="25"/>
      <c r="L1099" s="25"/>
      <c r="M1099" s="25"/>
    </row>
    <row r="1100" spans="3:13" x14ac:dyDescent="0.2"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3:13" x14ac:dyDescent="0.2">
      <c r="C1101" s="25"/>
      <c r="D1101" s="25"/>
      <c r="E1101" s="25"/>
      <c r="F1101" s="25"/>
      <c r="G1101" s="25"/>
      <c r="H1101" s="25"/>
      <c r="I1101" s="25"/>
      <c r="J1101" s="25"/>
      <c r="K1101" s="25"/>
      <c r="L1101" s="25"/>
      <c r="M1101" s="25"/>
    </row>
    <row r="1102" spans="3:13" x14ac:dyDescent="0.2"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3:13" x14ac:dyDescent="0.2">
      <c r="C1103" s="25"/>
      <c r="D1103" s="25"/>
      <c r="E1103" s="25"/>
      <c r="F1103" s="25"/>
      <c r="G1103" s="25"/>
      <c r="H1103" s="25"/>
      <c r="I1103" s="25"/>
      <c r="J1103" s="25"/>
      <c r="K1103" s="25"/>
      <c r="L1103" s="25"/>
      <c r="M1103" s="25"/>
    </row>
    <row r="1104" spans="3:13" x14ac:dyDescent="0.2"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3:13" x14ac:dyDescent="0.2">
      <c r="C1105" s="25"/>
      <c r="D1105" s="25"/>
      <c r="E1105" s="25"/>
      <c r="F1105" s="25"/>
      <c r="G1105" s="25"/>
      <c r="H1105" s="25"/>
      <c r="I1105" s="25"/>
      <c r="J1105" s="25"/>
      <c r="K1105" s="25"/>
      <c r="L1105" s="25"/>
      <c r="M1105" s="25"/>
    </row>
    <row r="1106" spans="3:13" x14ac:dyDescent="0.2"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3:13" x14ac:dyDescent="0.2">
      <c r="C1107" s="25"/>
      <c r="D1107" s="25"/>
      <c r="E1107" s="25"/>
      <c r="F1107" s="25"/>
      <c r="G1107" s="25"/>
      <c r="H1107" s="25"/>
      <c r="I1107" s="25"/>
      <c r="J1107" s="25"/>
      <c r="K1107" s="25"/>
      <c r="L1107" s="25"/>
      <c r="M1107" s="25"/>
    </row>
    <row r="1108" spans="3:13" x14ac:dyDescent="0.2"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3:13" x14ac:dyDescent="0.2">
      <c r="C1109" s="25"/>
      <c r="D1109" s="25"/>
      <c r="E1109" s="25"/>
      <c r="F1109" s="25"/>
      <c r="G1109" s="25"/>
      <c r="H1109" s="25"/>
      <c r="I1109" s="25"/>
      <c r="J1109" s="25"/>
      <c r="K1109" s="25"/>
      <c r="L1109" s="25"/>
      <c r="M1109" s="25"/>
    </row>
    <row r="1110" spans="3:13" x14ac:dyDescent="0.2"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3:13" x14ac:dyDescent="0.2">
      <c r="C1111" s="25"/>
      <c r="D1111" s="25"/>
      <c r="E1111" s="25"/>
      <c r="F1111" s="25"/>
      <c r="G1111" s="25"/>
      <c r="H1111" s="25"/>
      <c r="I1111" s="25"/>
      <c r="J1111" s="25"/>
      <c r="K1111" s="25"/>
      <c r="L1111" s="25"/>
      <c r="M1111" s="25"/>
    </row>
    <row r="1112" spans="3:13" x14ac:dyDescent="0.2"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3:13" x14ac:dyDescent="0.2">
      <c r="C1113" s="25"/>
      <c r="D1113" s="25"/>
      <c r="E1113" s="25"/>
      <c r="F1113" s="25"/>
      <c r="G1113" s="25"/>
      <c r="H1113" s="25"/>
      <c r="I1113" s="25"/>
      <c r="J1113" s="25"/>
      <c r="K1113" s="25"/>
      <c r="L1113" s="25"/>
      <c r="M1113" s="25"/>
    </row>
    <row r="1114" spans="3:13" x14ac:dyDescent="0.2"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3:13" x14ac:dyDescent="0.2">
      <c r="C1115" s="25"/>
      <c r="D1115" s="25"/>
      <c r="E1115" s="25"/>
      <c r="F1115" s="25"/>
      <c r="G1115" s="25"/>
      <c r="H1115" s="25"/>
      <c r="I1115" s="25"/>
      <c r="J1115" s="25"/>
      <c r="K1115" s="25"/>
      <c r="L1115" s="25"/>
      <c r="M1115" s="25"/>
    </row>
    <row r="1116" spans="3:13" x14ac:dyDescent="0.2"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3:13" x14ac:dyDescent="0.2">
      <c r="C1117" s="25"/>
      <c r="D1117" s="25"/>
      <c r="E1117" s="25"/>
      <c r="F1117" s="25"/>
      <c r="G1117" s="25"/>
      <c r="H1117" s="25"/>
      <c r="I1117" s="25"/>
      <c r="J1117" s="25"/>
      <c r="K1117" s="25"/>
      <c r="L1117" s="25"/>
      <c r="M1117" s="25"/>
    </row>
    <row r="1118" spans="3:13" x14ac:dyDescent="0.2"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3:13" x14ac:dyDescent="0.2">
      <c r="C1119" s="25"/>
      <c r="D1119" s="25"/>
      <c r="E1119" s="25"/>
      <c r="F1119" s="25"/>
      <c r="G1119" s="25"/>
      <c r="H1119" s="25"/>
      <c r="I1119" s="25"/>
      <c r="J1119" s="25"/>
      <c r="K1119" s="25"/>
      <c r="L1119" s="25"/>
      <c r="M1119" s="25"/>
    </row>
    <row r="1120" spans="3:13" x14ac:dyDescent="0.2"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3:13" x14ac:dyDescent="0.2">
      <c r="C1121" s="25"/>
      <c r="D1121" s="25"/>
      <c r="E1121" s="25"/>
      <c r="F1121" s="25"/>
      <c r="G1121" s="25"/>
      <c r="H1121" s="25"/>
      <c r="I1121" s="25"/>
      <c r="J1121" s="25"/>
      <c r="K1121" s="25"/>
      <c r="L1121" s="25"/>
      <c r="M1121" s="25"/>
    </row>
    <row r="1122" spans="3:13" x14ac:dyDescent="0.2"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3:13" x14ac:dyDescent="0.2">
      <c r="C1123" s="25"/>
      <c r="D1123" s="25"/>
      <c r="E1123" s="25"/>
      <c r="F1123" s="25"/>
      <c r="G1123" s="25"/>
      <c r="H1123" s="25"/>
      <c r="I1123" s="25"/>
      <c r="J1123" s="25"/>
      <c r="K1123" s="25"/>
      <c r="L1123" s="25"/>
      <c r="M1123" s="25"/>
    </row>
    <row r="1124" spans="3:13" x14ac:dyDescent="0.2"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3:13" x14ac:dyDescent="0.2">
      <c r="C1125" s="25"/>
      <c r="D1125" s="25"/>
      <c r="E1125" s="25"/>
      <c r="F1125" s="25"/>
      <c r="G1125" s="25"/>
      <c r="H1125" s="25"/>
      <c r="I1125" s="25"/>
      <c r="J1125" s="25"/>
      <c r="K1125" s="25"/>
      <c r="L1125" s="25"/>
      <c r="M1125" s="25"/>
    </row>
    <row r="1126" spans="3:13" x14ac:dyDescent="0.2"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3:13" x14ac:dyDescent="0.2">
      <c r="C1127" s="25"/>
      <c r="D1127" s="25"/>
      <c r="E1127" s="25"/>
      <c r="F1127" s="25"/>
      <c r="G1127" s="25"/>
      <c r="H1127" s="25"/>
      <c r="I1127" s="25"/>
      <c r="J1127" s="25"/>
      <c r="K1127" s="25"/>
      <c r="L1127" s="25"/>
      <c r="M1127" s="25"/>
    </row>
    <row r="1128" spans="3:13" x14ac:dyDescent="0.2"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3:13" x14ac:dyDescent="0.2">
      <c r="C1129" s="25"/>
      <c r="D1129" s="25"/>
      <c r="E1129" s="25"/>
      <c r="F1129" s="25"/>
      <c r="G1129" s="25"/>
      <c r="H1129" s="25"/>
      <c r="I1129" s="25"/>
      <c r="J1129" s="25"/>
      <c r="K1129" s="25"/>
      <c r="L1129" s="25"/>
      <c r="M1129" s="25"/>
    </row>
    <row r="1130" spans="3:13" x14ac:dyDescent="0.2"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3:13" x14ac:dyDescent="0.2">
      <c r="C1131" s="25"/>
      <c r="D1131" s="25"/>
      <c r="E1131" s="25"/>
      <c r="F1131" s="25"/>
      <c r="G1131" s="25"/>
      <c r="H1131" s="25"/>
      <c r="I1131" s="25"/>
      <c r="J1131" s="25"/>
      <c r="K1131" s="25"/>
      <c r="L1131" s="25"/>
      <c r="M1131" s="25"/>
    </row>
    <row r="1132" spans="3:13" x14ac:dyDescent="0.2"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3:13" x14ac:dyDescent="0.2">
      <c r="C1133" s="25"/>
      <c r="D1133" s="25"/>
      <c r="E1133" s="25"/>
      <c r="F1133" s="25"/>
      <c r="G1133" s="25"/>
      <c r="H1133" s="25"/>
      <c r="I1133" s="25"/>
      <c r="J1133" s="25"/>
      <c r="K1133" s="25"/>
      <c r="L1133" s="25"/>
      <c r="M1133" s="25"/>
    </row>
    <row r="1134" spans="3:13" x14ac:dyDescent="0.2"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3:13" x14ac:dyDescent="0.2">
      <c r="C1135" s="25"/>
      <c r="D1135" s="25"/>
      <c r="E1135" s="25"/>
      <c r="F1135" s="25"/>
      <c r="G1135" s="25"/>
      <c r="H1135" s="25"/>
      <c r="I1135" s="25"/>
      <c r="J1135" s="25"/>
      <c r="K1135" s="25"/>
      <c r="L1135" s="25"/>
      <c r="M1135" s="25"/>
    </row>
    <row r="1136" spans="3:13" x14ac:dyDescent="0.2"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3:13" x14ac:dyDescent="0.2">
      <c r="C1137" s="25"/>
      <c r="D1137" s="25"/>
      <c r="E1137" s="25"/>
      <c r="F1137" s="25"/>
      <c r="G1137" s="25"/>
      <c r="H1137" s="25"/>
      <c r="I1137" s="25"/>
      <c r="J1137" s="25"/>
      <c r="K1137" s="25"/>
      <c r="L1137" s="25"/>
      <c r="M1137" s="25"/>
    </row>
    <row r="1138" spans="3:13" x14ac:dyDescent="0.2"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3:13" x14ac:dyDescent="0.2">
      <c r="C1139" s="25"/>
      <c r="D1139" s="25"/>
      <c r="E1139" s="25"/>
      <c r="F1139" s="25"/>
      <c r="G1139" s="25"/>
      <c r="H1139" s="25"/>
      <c r="I1139" s="25"/>
      <c r="J1139" s="25"/>
      <c r="K1139" s="25"/>
      <c r="L1139" s="25"/>
      <c r="M1139" s="25"/>
    </row>
    <row r="1140" spans="3:13" x14ac:dyDescent="0.2"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3:13" x14ac:dyDescent="0.2">
      <c r="C1141" s="25"/>
      <c r="D1141" s="25"/>
      <c r="E1141" s="25"/>
      <c r="F1141" s="25"/>
      <c r="G1141" s="25"/>
      <c r="H1141" s="25"/>
      <c r="I1141" s="25"/>
      <c r="J1141" s="25"/>
      <c r="K1141" s="25"/>
      <c r="L1141" s="25"/>
      <c r="M1141" s="25"/>
    </row>
    <row r="1142" spans="3:13" x14ac:dyDescent="0.2"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3:13" x14ac:dyDescent="0.2">
      <c r="C1143" s="25"/>
      <c r="D1143" s="25"/>
      <c r="E1143" s="25"/>
      <c r="F1143" s="25"/>
      <c r="G1143" s="25"/>
      <c r="H1143" s="25"/>
      <c r="I1143" s="25"/>
      <c r="J1143" s="25"/>
      <c r="K1143" s="25"/>
      <c r="L1143" s="25"/>
      <c r="M1143" s="25"/>
    </row>
    <row r="1144" spans="3:13" x14ac:dyDescent="0.2"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3:13" x14ac:dyDescent="0.2">
      <c r="C1145" s="25"/>
      <c r="D1145" s="25"/>
      <c r="E1145" s="25"/>
      <c r="F1145" s="25"/>
      <c r="G1145" s="25"/>
      <c r="H1145" s="25"/>
      <c r="I1145" s="25"/>
      <c r="J1145" s="25"/>
      <c r="K1145" s="25"/>
      <c r="L1145" s="25"/>
      <c r="M1145" s="25"/>
    </row>
    <row r="1146" spans="3:13" x14ac:dyDescent="0.2"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3:13" x14ac:dyDescent="0.2">
      <c r="C1147" s="25"/>
      <c r="D1147" s="25"/>
      <c r="E1147" s="25"/>
      <c r="F1147" s="25"/>
      <c r="G1147" s="25"/>
      <c r="H1147" s="25"/>
      <c r="I1147" s="25"/>
      <c r="J1147" s="25"/>
      <c r="K1147" s="25"/>
      <c r="L1147" s="25"/>
      <c r="M1147" s="25"/>
    </row>
    <row r="1148" spans="3:13" x14ac:dyDescent="0.2"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3:13" x14ac:dyDescent="0.2">
      <c r="C1149" s="25"/>
      <c r="D1149" s="25"/>
      <c r="E1149" s="25"/>
      <c r="F1149" s="25"/>
      <c r="G1149" s="25"/>
      <c r="H1149" s="25"/>
      <c r="I1149" s="25"/>
      <c r="J1149" s="25"/>
      <c r="K1149" s="25"/>
      <c r="L1149" s="25"/>
      <c r="M1149" s="25"/>
    </row>
    <row r="1150" spans="3:13" x14ac:dyDescent="0.2"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3:13" x14ac:dyDescent="0.2">
      <c r="C1151" s="25"/>
      <c r="D1151" s="25"/>
      <c r="E1151" s="25"/>
      <c r="F1151" s="25"/>
      <c r="G1151" s="25"/>
      <c r="H1151" s="25"/>
      <c r="I1151" s="25"/>
      <c r="J1151" s="25"/>
      <c r="K1151" s="25"/>
      <c r="L1151" s="25"/>
      <c r="M1151" s="25"/>
    </row>
    <row r="1152" spans="3:13" x14ac:dyDescent="0.2"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3:13" x14ac:dyDescent="0.2">
      <c r="C1153" s="25"/>
      <c r="D1153" s="25"/>
      <c r="E1153" s="25"/>
      <c r="F1153" s="25"/>
      <c r="G1153" s="25"/>
      <c r="H1153" s="25"/>
      <c r="I1153" s="25"/>
      <c r="J1153" s="25"/>
      <c r="K1153" s="25"/>
      <c r="L1153" s="25"/>
      <c r="M1153" s="25"/>
    </row>
    <row r="1154" spans="3:13" x14ac:dyDescent="0.2"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3:13" x14ac:dyDescent="0.2">
      <c r="C1155" s="25"/>
      <c r="D1155" s="25"/>
      <c r="E1155" s="25"/>
      <c r="F1155" s="25"/>
      <c r="G1155" s="25"/>
      <c r="H1155" s="25"/>
      <c r="I1155" s="25"/>
      <c r="J1155" s="25"/>
      <c r="K1155" s="25"/>
      <c r="L1155" s="25"/>
      <c r="M1155" s="25"/>
    </row>
    <row r="1156" spans="3:13" x14ac:dyDescent="0.2"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3:13" x14ac:dyDescent="0.2">
      <c r="C1157" s="25"/>
      <c r="D1157" s="25"/>
      <c r="E1157" s="25"/>
      <c r="F1157" s="25"/>
      <c r="G1157" s="25"/>
      <c r="H1157" s="25"/>
      <c r="I1157" s="25"/>
      <c r="J1157" s="25"/>
      <c r="K1157" s="25"/>
      <c r="L1157" s="25"/>
      <c r="M1157" s="25"/>
    </row>
    <row r="1158" spans="3:13" x14ac:dyDescent="0.2"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3:13" x14ac:dyDescent="0.2">
      <c r="C1159" s="25"/>
      <c r="D1159" s="25"/>
      <c r="E1159" s="25"/>
      <c r="F1159" s="25"/>
      <c r="G1159" s="25"/>
      <c r="H1159" s="25"/>
      <c r="I1159" s="25"/>
      <c r="J1159" s="25"/>
      <c r="K1159" s="25"/>
      <c r="L1159" s="25"/>
      <c r="M1159" s="25"/>
    </row>
    <row r="1160" spans="3:13" x14ac:dyDescent="0.2"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3:13" x14ac:dyDescent="0.2">
      <c r="C1161" s="25"/>
      <c r="D1161" s="25"/>
      <c r="E1161" s="25"/>
      <c r="F1161" s="25"/>
      <c r="G1161" s="25"/>
      <c r="H1161" s="25"/>
      <c r="I1161" s="25"/>
      <c r="J1161" s="25"/>
      <c r="K1161" s="25"/>
      <c r="L1161" s="25"/>
      <c r="M1161" s="25"/>
    </row>
    <row r="1162" spans="3:13" x14ac:dyDescent="0.2"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3:13" x14ac:dyDescent="0.2">
      <c r="C1163" s="25"/>
      <c r="D1163" s="25"/>
      <c r="E1163" s="25"/>
      <c r="F1163" s="25"/>
      <c r="G1163" s="25"/>
      <c r="H1163" s="25"/>
      <c r="I1163" s="25"/>
      <c r="J1163" s="25"/>
      <c r="K1163" s="25"/>
      <c r="L1163" s="25"/>
      <c r="M1163" s="25"/>
    </row>
    <row r="1164" spans="3:13" x14ac:dyDescent="0.2"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3:13" x14ac:dyDescent="0.2">
      <c r="C1165" s="25"/>
      <c r="D1165" s="25"/>
      <c r="E1165" s="25"/>
      <c r="F1165" s="25"/>
      <c r="G1165" s="25"/>
      <c r="H1165" s="25"/>
      <c r="I1165" s="25"/>
      <c r="J1165" s="25"/>
      <c r="K1165" s="25"/>
      <c r="L1165" s="25"/>
      <c r="M1165" s="25"/>
    </row>
    <row r="1166" spans="3:13" x14ac:dyDescent="0.2"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3:13" x14ac:dyDescent="0.2">
      <c r="C1167" s="25"/>
      <c r="D1167" s="25"/>
      <c r="E1167" s="25"/>
      <c r="F1167" s="25"/>
      <c r="G1167" s="25"/>
      <c r="H1167" s="25"/>
      <c r="I1167" s="25"/>
      <c r="J1167" s="25"/>
      <c r="K1167" s="25"/>
      <c r="L1167" s="25"/>
      <c r="M1167" s="25"/>
    </row>
    <row r="1168" spans="3:13" x14ac:dyDescent="0.2"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3:13" x14ac:dyDescent="0.2">
      <c r="C1169" s="25"/>
      <c r="D1169" s="25"/>
      <c r="E1169" s="25"/>
      <c r="F1169" s="25"/>
      <c r="G1169" s="25"/>
      <c r="H1169" s="25"/>
      <c r="I1169" s="25"/>
      <c r="J1169" s="25"/>
      <c r="K1169" s="25"/>
      <c r="L1169" s="25"/>
      <c r="M1169" s="25"/>
    </row>
    <row r="1170" spans="3:13" x14ac:dyDescent="0.2"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3:13" x14ac:dyDescent="0.2">
      <c r="C1171" s="25"/>
      <c r="D1171" s="25"/>
      <c r="E1171" s="25"/>
      <c r="F1171" s="25"/>
      <c r="G1171" s="25"/>
      <c r="H1171" s="25"/>
      <c r="I1171" s="25"/>
      <c r="J1171" s="25"/>
      <c r="K1171" s="25"/>
      <c r="L1171" s="25"/>
      <c r="M1171" s="25"/>
    </row>
    <row r="1172" spans="3:13" x14ac:dyDescent="0.2"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3:13" x14ac:dyDescent="0.2">
      <c r="C1173" s="25"/>
      <c r="D1173" s="25"/>
      <c r="E1173" s="25"/>
      <c r="F1173" s="25"/>
      <c r="G1173" s="25"/>
      <c r="H1173" s="25"/>
      <c r="I1173" s="25"/>
      <c r="J1173" s="25"/>
      <c r="K1173" s="25"/>
      <c r="L1173" s="25"/>
      <c r="M1173" s="25"/>
    </row>
    <row r="1174" spans="3:13" x14ac:dyDescent="0.2"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3:13" x14ac:dyDescent="0.2">
      <c r="C1175" s="25"/>
      <c r="D1175" s="25"/>
      <c r="E1175" s="25"/>
      <c r="F1175" s="25"/>
      <c r="G1175" s="25"/>
      <c r="H1175" s="25"/>
      <c r="I1175" s="25"/>
      <c r="J1175" s="25"/>
      <c r="K1175" s="25"/>
      <c r="L1175" s="25"/>
      <c r="M1175" s="25"/>
    </row>
    <row r="1176" spans="3:13" x14ac:dyDescent="0.2"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3:13" x14ac:dyDescent="0.2">
      <c r="C1177" s="25"/>
      <c r="D1177" s="25"/>
      <c r="E1177" s="25"/>
      <c r="F1177" s="25"/>
      <c r="G1177" s="25"/>
      <c r="H1177" s="25"/>
      <c r="I1177" s="25"/>
      <c r="J1177" s="25"/>
      <c r="K1177" s="25"/>
      <c r="L1177" s="25"/>
      <c r="M1177" s="25"/>
    </row>
    <row r="1178" spans="3:13" x14ac:dyDescent="0.2"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3:13" x14ac:dyDescent="0.2">
      <c r="C1179" s="25"/>
      <c r="D1179" s="25"/>
      <c r="E1179" s="25"/>
      <c r="F1179" s="25"/>
      <c r="G1179" s="25"/>
      <c r="H1179" s="25"/>
      <c r="I1179" s="25"/>
      <c r="J1179" s="25"/>
      <c r="K1179" s="25"/>
      <c r="L1179" s="25"/>
      <c r="M1179" s="25"/>
    </row>
    <row r="1180" spans="3:13" x14ac:dyDescent="0.2"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3:13" x14ac:dyDescent="0.2">
      <c r="C1181" s="25"/>
      <c r="D1181" s="25"/>
      <c r="E1181" s="25"/>
      <c r="F1181" s="25"/>
      <c r="G1181" s="25"/>
      <c r="H1181" s="25"/>
      <c r="I1181" s="25"/>
      <c r="J1181" s="25"/>
      <c r="K1181" s="25"/>
      <c r="L1181" s="25"/>
      <c r="M1181" s="25"/>
    </row>
    <row r="1182" spans="3:13" x14ac:dyDescent="0.2"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3:13" x14ac:dyDescent="0.2">
      <c r="C1183" s="25"/>
      <c r="D1183" s="25"/>
      <c r="E1183" s="25"/>
      <c r="F1183" s="25"/>
      <c r="G1183" s="25"/>
      <c r="H1183" s="25"/>
      <c r="I1183" s="25"/>
      <c r="J1183" s="25"/>
      <c r="K1183" s="25"/>
      <c r="L1183" s="25"/>
      <c r="M1183" s="25"/>
    </row>
    <row r="1184" spans="3:13" x14ac:dyDescent="0.2"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3:13" x14ac:dyDescent="0.2">
      <c r="C1185" s="25"/>
      <c r="D1185" s="25"/>
      <c r="E1185" s="25"/>
      <c r="F1185" s="25"/>
      <c r="G1185" s="25"/>
      <c r="H1185" s="25"/>
      <c r="I1185" s="25"/>
      <c r="J1185" s="25"/>
      <c r="K1185" s="25"/>
      <c r="L1185" s="25"/>
      <c r="M1185" s="25"/>
    </row>
    <row r="1186" spans="3:13" x14ac:dyDescent="0.2"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3:13" x14ac:dyDescent="0.2">
      <c r="C1187" s="25"/>
      <c r="D1187" s="25"/>
      <c r="E1187" s="25"/>
      <c r="F1187" s="25"/>
      <c r="G1187" s="25"/>
      <c r="H1187" s="25"/>
      <c r="I1187" s="25"/>
      <c r="J1187" s="25"/>
      <c r="K1187" s="25"/>
      <c r="L1187" s="25"/>
      <c r="M1187" s="25"/>
    </row>
    <row r="1188" spans="3:13" x14ac:dyDescent="0.2"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3:13" x14ac:dyDescent="0.2">
      <c r="C1189" s="25"/>
      <c r="D1189" s="25"/>
      <c r="E1189" s="25"/>
      <c r="F1189" s="25"/>
      <c r="G1189" s="25"/>
      <c r="H1189" s="25"/>
      <c r="I1189" s="25"/>
      <c r="J1189" s="25"/>
      <c r="K1189" s="25"/>
      <c r="L1189" s="25"/>
      <c r="M1189" s="25"/>
    </row>
    <row r="1190" spans="3:13" x14ac:dyDescent="0.2"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3:13" x14ac:dyDescent="0.2">
      <c r="C1191" s="25"/>
      <c r="D1191" s="25"/>
      <c r="E1191" s="25"/>
      <c r="F1191" s="25"/>
      <c r="G1191" s="25"/>
      <c r="H1191" s="25"/>
      <c r="I1191" s="25"/>
      <c r="J1191" s="25"/>
      <c r="K1191" s="25"/>
      <c r="L1191" s="25"/>
      <c r="M1191" s="25"/>
    </row>
    <row r="1192" spans="3:13" x14ac:dyDescent="0.2"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3:13" x14ac:dyDescent="0.2">
      <c r="C1193" s="25"/>
      <c r="D1193" s="25"/>
      <c r="E1193" s="25"/>
      <c r="F1193" s="25"/>
      <c r="G1193" s="25"/>
      <c r="H1193" s="25"/>
      <c r="I1193" s="25"/>
      <c r="J1193" s="25"/>
      <c r="K1193" s="25"/>
      <c r="L1193" s="25"/>
      <c r="M1193" s="25"/>
    </row>
    <row r="1194" spans="3:13" x14ac:dyDescent="0.2"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3:13" x14ac:dyDescent="0.2">
      <c r="C1195" s="25"/>
      <c r="D1195" s="25"/>
      <c r="E1195" s="25"/>
      <c r="F1195" s="25"/>
      <c r="G1195" s="25"/>
      <c r="H1195" s="25"/>
      <c r="I1195" s="25"/>
      <c r="J1195" s="25"/>
      <c r="K1195" s="25"/>
      <c r="L1195" s="25"/>
      <c r="M1195" s="25"/>
    </row>
    <row r="1196" spans="3:13" x14ac:dyDescent="0.2"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3:13" x14ac:dyDescent="0.2">
      <c r="C1197" s="25"/>
      <c r="D1197" s="25"/>
      <c r="E1197" s="25"/>
      <c r="F1197" s="25"/>
      <c r="G1197" s="25"/>
      <c r="H1197" s="25"/>
      <c r="I1197" s="25"/>
      <c r="J1197" s="25"/>
      <c r="K1197" s="25"/>
      <c r="L1197" s="25"/>
      <c r="M1197" s="25"/>
    </row>
    <row r="1198" spans="3:13" x14ac:dyDescent="0.2"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3:13" x14ac:dyDescent="0.2">
      <c r="C1199" s="25"/>
      <c r="D1199" s="25"/>
      <c r="E1199" s="25"/>
      <c r="F1199" s="25"/>
      <c r="G1199" s="25"/>
      <c r="H1199" s="25"/>
      <c r="I1199" s="25"/>
      <c r="J1199" s="25"/>
      <c r="K1199" s="25"/>
      <c r="L1199" s="25"/>
      <c r="M1199" s="25"/>
    </row>
    <row r="1200" spans="3:13" x14ac:dyDescent="0.2"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3:13" x14ac:dyDescent="0.2">
      <c r="C1201" s="25"/>
      <c r="D1201" s="25"/>
      <c r="E1201" s="25"/>
      <c r="F1201" s="25"/>
      <c r="G1201" s="25"/>
      <c r="H1201" s="25"/>
      <c r="I1201" s="25"/>
      <c r="J1201" s="25"/>
      <c r="K1201" s="25"/>
      <c r="L1201" s="25"/>
      <c r="M1201" s="25"/>
    </row>
    <row r="1202" spans="3:13" x14ac:dyDescent="0.2"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3:13" x14ac:dyDescent="0.2">
      <c r="C1203" s="25"/>
      <c r="D1203" s="25"/>
      <c r="E1203" s="25"/>
      <c r="F1203" s="25"/>
      <c r="G1203" s="25"/>
      <c r="H1203" s="25"/>
      <c r="I1203" s="25"/>
      <c r="J1203" s="25"/>
      <c r="K1203" s="25"/>
      <c r="L1203" s="25"/>
      <c r="M1203" s="25"/>
    </row>
    <row r="1204" spans="3:13" x14ac:dyDescent="0.2"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3:13" x14ac:dyDescent="0.2">
      <c r="C1205" s="25"/>
      <c r="D1205" s="25"/>
      <c r="E1205" s="25"/>
      <c r="F1205" s="25"/>
      <c r="G1205" s="25"/>
      <c r="H1205" s="25"/>
      <c r="I1205" s="25"/>
      <c r="J1205" s="25"/>
      <c r="K1205" s="25"/>
      <c r="L1205" s="25"/>
      <c r="M1205" s="25"/>
    </row>
    <row r="1206" spans="3:13" x14ac:dyDescent="0.2"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3:13" x14ac:dyDescent="0.2">
      <c r="C1207" s="25"/>
      <c r="D1207" s="25"/>
      <c r="E1207" s="25"/>
      <c r="F1207" s="25"/>
      <c r="G1207" s="25"/>
      <c r="H1207" s="25"/>
      <c r="I1207" s="25"/>
      <c r="J1207" s="25"/>
      <c r="K1207" s="25"/>
      <c r="L1207" s="25"/>
      <c r="M1207" s="25"/>
    </row>
    <row r="1208" spans="3:13" x14ac:dyDescent="0.2"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3:13" x14ac:dyDescent="0.2">
      <c r="C1209" s="25"/>
      <c r="D1209" s="25"/>
      <c r="E1209" s="25"/>
      <c r="F1209" s="25"/>
      <c r="G1209" s="25"/>
      <c r="H1209" s="25"/>
      <c r="I1209" s="25"/>
      <c r="J1209" s="25"/>
      <c r="K1209" s="25"/>
      <c r="L1209" s="25"/>
      <c r="M1209" s="25"/>
    </row>
    <row r="1210" spans="3:13" x14ac:dyDescent="0.2"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3:13" x14ac:dyDescent="0.2">
      <c r="C1211" s="25"/>
      <c r="D1211" s="25"/>
      <c r="E1211" s="25"/>
      <c r="F1211" s="25"/>
      <c r="G1211" s="25"/>
      <c r="H1211" s="25"/>
      <c r="I1211" s="25"/>
      <c r="J1211" s="25"/>
      <c r="K1211" s="25"/>
      <c r="L1211" s="25"/>
      <c r="M1211" s="25"/>
    </row>
    <row r="1212" spans="3:13" x14ac:dyDescent="0.2"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3:13" x14ac:dyDescent="0.2">
      <c r="C1213" s="25"/>
      <c r="D1213" s="25"/>
      <c r="E1213" s="25"/>
      <c r="F1213" s="25"/>
      <c r="G1213" s="25"/>
      <c r="H1213" s="25"/>
      <c r="I1213" s="25"/>
      <c r="J1213" s="25"/>
      <c r="K1213" s="25"/>
      <c r="L1213" s="25"/>
      <c r="M1213" s="25"/>
    </row>
    <row r="1214" spans="3:13" x14ac:dyDescent="0.2"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3:13" x14ac:dyDescent="0.2">
      <c r="C1215" s="25"/>
      <c r="D1215" s="25"/>
      <c r="E1215" s="25"/>
      <c r="F1215" s="25"/>
      <c r="G1215" s="25"/>
      <c r="H1215" s="25"/>
      <c r="I1215" s="25"/>
      <c r="J1215" s="25"/>
      <c r="K1215" s="25"/>
      <c r="L1215" s="25"/>
      <c r="M1215" s="25"/>
    </row>
    <row r="1216" spans="3:13" x14ac:dyDescent="0.2"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3:13" x14ac:dyDescent="0.2">
      <c r="C1217" s="25"/>
      <c r="D1217" s="25"/>
      <c r="E1217" s="25"/>
      <c r="F1217" s="25"/>
      <c r="G1217" s="25"/>
      <c r="H1217" s="25"/>
      <c r="I1217" s="25"/>
      <c r="J1217" s="25"/>
      <c r="K1217" s="25"/>
      <c r="L1217" s="25"/>
      <c r="M1217" s="25"/>
    </row>
    <row r="1218" spans="3:13" x14ac:dyDescent="0.2"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3:13" x14ac:dyDescent="0.2">
      <c r="C1219" s="25"/>
      <c r="D1219" s="25"/>
      <c r="E1219" s="25"/>
      <c r="F1219" s="25"/>
      <c r="G1219" s="25"/>
      <c r="H1219" s="25"/>
      <c r="I1219" s="25"/>
      <c r="J1219" s="25"/>
      <c r="K1219" s="25"/>
      <c r="L1219" s="25"/>
      <c r="M1219" s="25"/>
    </row>
    <row r="1220" spans="3:13" x14ac:dyDescent="0.2"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3:13" x14ac:dyDescent="0.2">
      <c r="C1221" s="25"/>
      <c r="D1221" s="25"/>
      <c r="E1221" s="25"/>
      <c r="F1221" s="25"/>
      <c r="G1221" s="25"/>
      <c r="H1221" s="25"/>
      <c r="I1221" s="25"/>
      <c r="J1221" s="25"/>
      <c r="K1221" s="25"/>
      <c r="L1221" s="25"/>
      <c r="M1221" s="25"/>
    </row>
    <row r="1222" spans="3:13" x14ac:dyDescent="0.2"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3:13" x14ac:dyDescent="0.2">
      <c r="C1223" s="25"/>
      <c r="D1223" s="25"/>
      <c r="E1223" s="25"/>
      <c r="F1223" s="25"/>
      <c r="G1223" s="25"/>
      <c r="H1223" s="25"/>
      <c r="I1223" s="25"/>
      <c r="J1223" s="25"/>
      <c r="K1223" s="25"/>
      <c r="L1223" s="25"/>
      <c r="M1223" s="25"/>
    </row>
    <row r="1224" spans="3:13" x14ac:dyDescent="0.2"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3:13" x14ac:dyDescent="0.2">
      <c r="C1225" s="25"/>
      <c r="D1225" s="25"/>
      <c r="E1225" s="25"/>
      <c r="F1225" s="25"/>
      <c r="G1225" s="25"/>
      <c r="H1225" s="25"/>
      <c r="I1225" s="25"/>
      <c r="J1225" s="25"/>
      <c r="K1225" s="25"/>
      <c r="L1225" s="25"/>
      <c r="M1225" s="25"/>
    </row>
    <row r="1226" spans="3:13" x14ac:dyDescent="0.2"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3:13" x14ac:dyDescent="0.2">
      <c r="C1227" s="25"/>
      <c r="D1227" s="25"/>
      <c r="E1227" s="25"/>
      <c r="F1227" s="25"/>
      <c r="G1227" s="25"/>
      <c r="H1227" s="25"/>
      <c r="I1227" s="25"/>
      <c r="J1227" s="25"/>
      <c r="K1227" s="25"/>
      <c r="L1227" s="25"/>
      <c r="M1227" s="25"/>
    </row>
    <row r="1228" spans="3:13" x14ac:dyDescent="0.2"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3:13" x14ac:dyDescent="0.2">
      <c r="C1229" s="25"/>
      <c r="D1229" s="25"/>
      <c r="E1229" s="25"/>
      <c r="F1229" s="25"/>
      <c r="G1229" s="25"/>
      <c r="H1229" s="25"/>
      <c r="I1229" s="25"/>
      <c r="J1229" s="25"/>
      <c r="K1229" s="25"/>
      <c r="L1229" s="25"/>
      <c r="M1229" s="25"/>
    </row>
    <row r="1230" spans="3:13" x14ac:dyDescent="0.2"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3:13" x14ac:dyDescent="0.2">
      <c r="C1231" s="25"/>
      <c r="D1231" s="25"/>
      <c r="E1231" s="25"/>
      <c r="F1231" s="25"/>
      <c r="G1231" s="25"/>
      <c r="H1231" s="25"/>
      <c r="I1231" s="25"/>
      <c r="J1231" s="25"/>
      <c r="K1231" s="25"/>
      <c r="L1231" s="25"/>
      <c r="M1231" s="25"/>
    </row>
    <row r="1232" spans="3:13" x14ac:dyDescent="0.2"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3:13" x14ac:dyDescent="0.2">
      <c r="C1233" s="25"/>
      <c r="D1233" s="25"/>
      <c r="E1233" s="25"/>
      <c r="F1233" s="25"/>
      <c r="G1233" s="25"/>
      <c r="H1233" s="25"/>
      <c r="I1233" s="25"/>
      <c r="J1233" s="25"/>
      <c r="K1233" s="25"/>
      <c r="L1233" s="25"/>
      <c r="M1233" s="25"/>
    </row>
    <row r="1234" spans="3:13" x14ac:dyDescent="0.2"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3:13" x14ac:dyDescent="0.2">
      <c r="C1235" s="25"/>
      <c r="D1235" s="25"/>
      <c r="E1235" s="25"/>
      <c r="F1235" s="25"/>
      <c r="G1235" s="25"/>
      <c r="H1235" s="25"/>
      <c r="I1235" s="25"/>
      <c r="J1235" s="25"/>
      <c r="K1235" s="25"/>
      <c r="L1235" s="25"/>
      <c r="M1235" s="25"/>
    </row>
    <row r="1236" spans="3:13" x14ac:dyDescent="0.2"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3:13" x14ac:dyDescent="0.2">
      <c r="C1237" s="25"/>
      <c r="D1237" s="25"/>
      <c r="E1237" s="25"/>
      <c r="F1237" s="25"/>
      <c r="G1237" s="25"/>
      <c r="H1237" s="25"/>
      <c r="I1237" s="25"/>
      <c r="J1237" s="25"/>
      <c r="K1237" s="25"/>
      <c r="L1237" s="25"/>
      <c r="M1237" s="25"/>
    </row>
    <row r="1238" spans="3:13" x14ac:dyDescent="0.2"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3:13" x14ac:dyDescent="0.2">
      <c r="C1239" s="25"/>
      <c r="D1239" s="25"/>
      <c r="E1239" s="25"/>
      <c r="F1239" s="25"/>
      <c r="G1239" s="25"/>
      <c r="H1239" s="25"/>
      <c r="I1239" s="25"/>
      <c r="J1239" s="25"/>
      <c r="K1239" s="25"/>
      <c r="L1239" s="25"/>
      <c r="M1239" s="25"/>
    </row>
    <row r="1240" spans="3:13" x14ac:dyDescent="0.2"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3:13" x14ac:dyDescent="0.2">
      <c r="C1241" s="25"/>
      <c r="D1241" s="25"/>
      <c r="E1241" s="25"/>
      <c r="F1241" s="25"/>
      <c r="G1241" s="25"/>
      <c r="H1241" s="25"/>
      <c r="I1241" s="25"/>
      <c r="J1241" s="25"/>
      <c r="K1241" s="25"/>
      <c r="L1241" s="25"/>
      <c r="M1241" s="25"/>
    </row>
    <row r="1242" spans="3:13" x14ac:dyDescent="0.2"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3:13" x14ac:dyDescent="0.2">
      <c r="C1243" s="25"/>
      <c r="D1243" s="25"/>
      <c r="E1243" s="25"/>
      <c r="F1243" s="25"/>
      <c r="G1243" s="25"/>
      <c r="H1243" s="25"/>
      <c r="I1243" s="25"/>
      <c r="J1243" s="25"/>
      <c r="K1243" s="25"/>
      <c r="L1243" s="25"/>
      <c r="M1243" s="25"/>
    </row>
    <row r="1244" spans="3:13" x14ac:dyDescent="0.2"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3:13" x14ac:dyDescent="0.2">
      <c r="C1245" s="25"/>
      <c r="D1245" s="25"/>
      <c r="E1245" s="25"/>
      <c r="F1245" s="25"/>
      <c r="G1245" s="25"/>
      <c r="H1245" s="25"/>
      <c r="I1245" s="25"/>
      <c r="J1245" s="25"/>
      <c r="K1245" s="25"/>
      <c r="L1245" s="25"/>
      <c r="M1245" s="25"/>
    </row>
    <row r="1246" spans="3:13" x14ac:dyDescent="0.2"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3:13" x14ac:dyDescent="0.2">
      <c r="C1247" s="25"/>
      <c r="D1247" s="25"/>
      <c r="E1247" s="25"/>
      <c r="F1247" s="25"/>
      <c r="G1247" s="25"/>
      <c r="H1247" s="25"/>
      <c r="I1247" s="25"/>
      <c r="J1247" s="25"/>
      <c r="K1247" s="25"/>
      <c r="L1247" s="25"/>
      <c r="M1247" s="25"/>
    </row>
    <row r="1248" spans="3:13" x14ac:dyDescent="0.2"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3:13" x14ac:dyDescent="0.2">
      <c r="C1249" s="25"/>
      <c r="D1249" s="25"/>
      <c r="E1249" s="25"/>
      <c r="F1249" s="25"/>
      <c r="G1249" s="25"/>
      <c r="H1249" s="25"/>
      <c r="I1249" s="25"/>
      <c r="J1249" s="25"/>
      <c r="K1249" s="25"/>
      <c r="L1249" s="25"/>
      <c r="M1249" s="25"/>
    </row>
    <row r="1250" spans="3:13" x14ac:dyDescent="0.2"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3:13" x14ac:dyDescent="0.2">
      <c r="C1251" s="25"/>
      <c r="D1251" s="25"/>
      <c r="E1251" s="25"/>
      <c r="F1251" s="25"/>
      <c r="G1251" s="25"/>
      <c r="H1251" s="25"/>
      <c r="I1251" s="25"/>
      <c r="J1251" s="25"/>
      <c r="K1251" s="25"/>
      <c r="L1251" s="25"/>
      <c r="M1251" s="25"/>
    </row>
    <row r="1252" spans="3:13" x14ac:dyDescent="0.2"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3:13" x14ac:dyDescent="0.2">
      <c r="C1253" s="25"/>
      <c r="D1253" s="25"/>
      <c r="E1253" s="25"/>
      <c r="F1253" s="25"/>
      <c r="G1253" s="25"/>
      <c r="H1253" s="25"/>
      <c r="I1253" s="25"/>
      <c r="J1253" s="25"/>
      <c r="K1253" s="25"/>
      <c r="L1253" s="25"/>
      <c r="M1253" s="25"/>
    </row>
    <row r="1254" spans="3:13" x14ac:dyDescent="0.2"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3:13" x14ac:dyDescent="0.2">
      <c r="C1255" s="25"/>
      <c r="D1255" s="25"/>
      <c r="E1255" s="25"/>
      <c r="F1255" s="25"/>
      <c r="G1255" s="25"/>
      <c r="H1255" s="25"/>
      <c r="I1255" s="25"/>
      <c r="J1255" s="25"/>
      <c r="K1255" s="25"/>
      <c r="L1255" s="25"/>
      <c r="M1255" s="25"/>
    </row>
    <row r="1256" spans="3:13" x14ac:dyDescent="0.2"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3:13" x14ac:dyDescent="0.2">
      <c r="C1257" s="25"/>
      <c r="D1257" s="25"/>
      <c r="E1257" s="25"/>
      <c r="F1257" s="25"/>
      <c r="G1257" s="25"/>
      <c r="H1257" s="25"/>
      <c r="I1257" s="25"/>
      <c r="J1257" s="25"/>
      <c r="K1257" s="25"/>
      <c r="L1257" s="25"/>
      <c r="M1257" s="25"/>
    </row>
    <row r="1258" spans="3:13" x14ac:dyDescent="0.2"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3:13" x14ac:dyDescent="0.2">
      <c r="C1259" s="25"/>
      <c r="D1259" s="25"/>
      <c r="E1259" s="25"/>
      <c r="F1259" s="25"/>
      <c r="G1259" s="25"/>
      <c r="H1259" s="25"/>
      <c r="I1259" s="25"/>
      <c r="J1259" s="25"/>
      <c r="K1259" s="25"/>
      <c r="L1259" s="25"/>
      <c r="M1259" s="25"/>
    </row>
    <row r="1260" spans="3:13" x14ac:dyDescent="0.2"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3:13" x14ac:dyDescent="0.2">
      <c r="C1261" s="25"/>
      <c r="D1261" s="25"/>
      <c r="E1261" s="25"/>
      <c r="F1261" s="25"/>
      <c r="G1261" s="25"/>
      <c r="H1261" s="25"/>
      <c r="I1261" s="25"/>
      <c r="J1261" s="25"/>
      <c r="K1261" s="25"/>
      <c r="L1261" s="25"/>
      <c r="M1261" s="25"/>
    </row>
    <row r="1262" spans="3:13" x14ac:dyDescent="0.2"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3:13" x14ac:dyDescent="0.2">
      <c r="C1263" s="25"/>
      <c r="D1263" s="25"/>
      <c r="E1263" s="25"/>
      <c r="F1263" s="25"/>
      <c r="G1263" s="25"/>
      <c r="H1263" s="25"/>
      <c r="I1263" s="25"/>
      <c r="J1263" s="25"/>
      <c r="K1263" s="25"/>
      <c r="L1263" s="25"/>
      <c r="M1263" s="25"/>
    </row>
    <row r="1264" spans="3:13" x14ac:dyDescent="0.2"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3:13" x14ac:dyDescent="0.2">
      <c r="C1265" s="25"/>
      <c r="D1265" s="25"/>
      <c r="E1265" s="25"/>
      <c r="F1265" s="25"/>
      <c r="G1265" s="25"/>
      <c r="H1265" s="25"/>
      <c r="I1265" s="25"/>
      <c r="J1265" s="25"/>
      <c r="K1265" s="25"/>
      <c r="L1265" s="25"/>
      <c r="M1265" s="25"/>
    </row>
    <row r="1266" spans="3:13" x14ac:dyDescent="0.2"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3:13" x14ac:dyDescent="0.2">
      <c r="C1267" s="25"/>
      <c r="D1267" s="25"/>
      <c r="E1267" s="25"/>
      <c r="F1267" s="25"/>
      <c r="G1267" s="25"/>
      <c r="H1267" s="25"/>
      <c r="I1267" s="25"/>
      <c r="J1267" s="25"/>
      <c r="K1267" s="25"/>
      <c r="L1267" s="25"/>
      <c r="M1267" s="25"/>
    </row>
    <row r="1268" spans="3:13" x14ac:dyDescent="0.2"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3:13" x14ac:dyDescent="0.2">
      <c r="C1269" s="25"/>
      <c r="D1269" s="25"/>
      <c r="E1269" s="25"/>
      <c r="F1269" s="25"/>
      <c r="G1269" s="25"/>
      <c r="H1269" s="25"/>
      <c r="I1269" s="25"/>
      <c r="J1269" s="25"/>
      <c r="K1269" s="25"/>
      <c r="L1269" s="25"/>
      <c r="M1269" s="25"/>
    </row>
    <row r="1270" spans="3:13" x14ac:dyDescent="0.2"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3:13" x14ac:dyDescent="0.2">
      <c r="C1271" s="25"/>
      <c r="D1271" s="25"/>
      <c r="E1271" s="25"/>
      <c r="F1271" s="25"/>
      <c r="G1271" s="25"/>
      <c r="H1271" s="25"/>
      <c r="I1271" s="25"/>
      <c r="J1271" s="25"/>
      <c r="K1271" s="25"/>
      <c r="L1271" s="25"/>
      <c r="M1271" s="25"/>
    </row>
    <row r="1272" spans="3:13" x14ac:dyDescent="0.2"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3:13" x14ac:dyDescent="0.2">
      <c r="C1273" s="25"/>
      <c r="D1273" s="25"/>
      <c r="E1273" s="25"/>
      <c r="F1273" s="25"/>
      <c r="G1273" s="25"/>
      <c r="H1273" s="25"/>
      <c r="I1273" s="25"/>
      <c r="J1273" s="25"/>
      <c r="K1273" s="25"/>
      <c r="L1273" s="25"/>
      <c r="M1273" s="25"/>
    </row>
    <row r="1274" spans="3:13" x14ac:dyDescent="0.2"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3:13" x14ac:dyDescent="0.2">
      <c r="C1275" s="25"/>
      <c r="D1275" s="25"/>
      <c r="E1275" s="25"/>
      <c r="F1275" s="25"/>
      <c r="G1275" s="25"/>
      <c r="H1275" s="25"/>
      <c r="I1275" s="25"/>
      <c r="J1275" s="25"/>
      <c r="K1275" s="25"/>
      <c r="L1275" s="25"/>
      <c r="M1275" s="25"/>
    </row>
    <row r="1276" spans="3:13" x14ac:dyDescent="0.2"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3:13" x14ac:dyDescent="0.2">
      <c r="C1277" s="25"/>
      <c r="D1277" s="25"/>
      <c r="E1277" s="25"/>
      <c r="F1277" s="25"/>
      <c r="G1277" s="25"/>
      <c r="H1277" s="25"/>
      <c r="I1277" s="25"/>
      <c r="J1277" s="25"/>
      <c r="K1277" s="25"/>
      <c r="L1277" s="25"/>
      <c r="M1277" s="25"/>
    </row>
    <row r="1278" spans="3:13" x14ac:dyDescent="0.2"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3:13" x14ac:dyDescent="0.2">
      <c r="C1279" s="25"/>
      <c r="D1279" s="25"/>
      <c r="E1279" s="25"/>
      <c r="F1279" s="25"/>
      <c r="G1279" s="25"/>
      <c r="H1279" s="25"/>
      <c r="I1279" s="25"/>
      <c r="J1279" s="25"/>
      <c r="K1279" s="25"/>
      <c r="L1279" s="25"/>
      <c r="M1279" s="25"/>
    </row>
    <row r="1280" spans="3:13" x14ac:dyDescent="0.2"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3:13" x14ac:dyDescent="0.2">
      <c r="C1281" s="25"/>
      <c r="D1281" s="25"/>
      <c r="E1281" s="25"/>
      <c r="F1281" s="25"/>
      <c r="G1281" s="25"/>
      <c r="H1281" s="25"/>
      <c r="I1281" s="25"/>
      <c r="J1281" s="25"/>
      <c r="K1281" s="25"/>
      <c r="L1281" s="25"/>
      <c r="M1281" s="25"/>
    </row>
    <row r="1282" spans="3:13" x14ac:dyDescent="0.2"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3:13" x14ac:dyDescent="0.2">
      <c r="C1283" s="25"/>
      <c r="D1283" s="25"/>
      <c r="E1283" s="25"/>
      <c r="F1283" s="25"/>
      <c r="G1283" s="25"/>
      <c r="H1283" s="25"/>
      <c r="I1283" s="25"/>
      <c r="J1283" s="25"/>
      <c r="K1283" s="25"/>
      <c r="L1283" s="25"/>
      <c r="M1283" s="25"/>
    </row>
    <row r="1284" spans="3:13" x14ac:dyDescent="0.2"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3:13" x14ac:dyDescent="0.2">
      <c r="C1285" s="25"/>
      <c r="D1285" s="25"/>
      <c r="E1285" s="25"/>
      <c r="F1285" s="25"/>
      <c r="G1285" s="25"/>
      <c r="H1285" s="25"/>
      <c r="I1285" s="25"/>
      <c r="J1285" s="25"/>
      <c r="K1285" s="25"/>
      <c r="L1285" s="25"/>
      <c r="M1285" s="25"/>
    </row>
    <row r="1286" spans="3:13" x14ac:dyDescent="0.2"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3:13" x14ac:dyDescent="0.2">
      <c r="C1287" s="25"/>
      <c r="D1287" s="25"/>
      <c r="E1287" s="25"/>
      <c r="F1287" s="25"/>
      <c r="G1287" s="25"/>
      <c r="H1287" s="25"/>
      <c r="I1287" s="25"/>
      <c r="J1287" s="25"/>
      <c r="K1287" s="25"/>
      <c r="L1287" s="25"/>
      <c r="M1287" s="25"/>
    </row>
    <row r="1288" spans="3:13" x14ac:dyDescent="0.2"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3:13" x14ac:dyDescent="0.2">
      <c r="C1289" s="25"/>
      <c r="D1289" s="25"/>
      <c r="E1289" s="25"/>
      <c r="F1289" s="25"/>
      <c r="G1289" s="25"/>
      <c r="H1289" s="25"/>
      <c r="I1289" s="25"/>
      <c r="J1289" s="25"/>
      <c r="K1289" s="25"/>
      <c r="L1289" s="25"/>
      <c r="M1289" s="25"/>
    </row>
    <row r="1290" spans="3:13" x14ac:dyDescent="0.2"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3:13" x14ac:dyDescent="0.2">
      <c r="C1291" s="25"/>
      <c r="D1291" s="25"/>
      <c r="E1291" s="25"/>
      <c r="F1291" s="25"/>
      <c r="G1291" s="25"/>
      <c r="H1291" s="25"/>
      <c r="I1291" s="25"/>
      <c r="J1291" s="25"/>
      <c r="K1291" s="25"/>
      <c r="L1291" s="25"/>
      <c r="M1291" s="25"/>
    </row>
    <row r="1292" spans="3:13" x14ac:dyDescent="0.2"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3:13" x14ac:dyDescent="0.2">
      <c r="C1293" s="25"/>
      <c r="D1293" s="25"/>
      <c r="E1293" s="25"/>
      <c r="F1293" s="25"/>
      <c r="G1293" s="25"/>
      <c r="H1293" s="25"/>
      <c r="I1293" s="25"/>
      <c r="J1293" s="25"/>
      <c r="K1293" s="25"/>
      <c r="L1293" s="25"/>
      <c r="M1293" s="25"/>
    </row>
    <row r="1294" spans="3:13" x14ac:dyDescent="0.2"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3:13" x14ac:dyDescent="0.2">
      <c r="C1295" s="25"/>
      <c r="D1295" s="25"/>
      <c r="E1295" s="25"/>
      <c r="F1295" s="25"/>
      <c r="G1295" s="25"/>
      <c r="H1295" s="25"/>
      <c r="I1295" s="25"/>
      <c r="J1295" s="25"/>
      <c r="K1295" s="25"/>
      <c r="L1295" s="25"/>
      <c r="M1295" s="25"/>
    </row>
    <row r="1296" spans="3:13" x14ac:dyDescent="0.2"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3:13" x14ac:dyDescent="0.2">
      <c r="C1297" s="25"/>
      <c r="D1297" s="25"/>
      <c r="E1297" s="25"/>
      <c r="F1297" s="25"/>
      <c r="G1297" s="25"/>
      <c r="H1297" s="25"/>
      <c r="I1297" s="25"/>
      <c r="J1297" s="25"/>
      <c r="K1297" s="25"/>
      <c r="L1297" s="25"/>
      <c r="M1297" s="25"/>
    </row>
    <row r="1298" spans="3:13" x14ac:dyDescent="0.2"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3:13" x14ac:dyDescent="0.2">
      <c r="C1299" s="25"/>
      <c r="D1299" s="25"/>
      <c r="E1299" s="25"/>
      <c r="F1299" s="25"/>
      <c r="G1299" s="25"/>
      <c r="H1299" s="25"/>
      <c r="I1299" s="25"/>
      <c r="J1299" s="25"/>
      <c r="K1299" s="25"/>
      <c r="L1299" s="25"/>
      <c r="M1299" s="25"/>
    </row>
    <row r="1300" spans="3:13" x14ac:dyDescent="0.2"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3:13" x14ac:dyDescent="0.2">
      <c r="C1301" s="25"/>
      <c r="D1301" s="25"/>
      <c r="E1301" s="25"/>
      <c r="F1301" s="25"/>
      <c r="G1301" s="25"/>
      <c r="H1301" s="25"/>
      <c r="I1301" s="25"/>
      <c r="J1301" s="25"/>
      <c r="K1301" s="25"/>
      <c r="L1301" s="25"/>
      <c r="M1301" s="25"/>
    </row>
    <row r="1302" spans="3:13" x14ac:dyDescent="0.2"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3:13" x14ac:dyDescent="0.2">
      <c r="C1303" s="25"/>
      <c r="D1303" s="25"/>
      <c r="E1303" s="25"/>
      <c r="F1303" s="25"/>
      <c r="G1303" s="25"/>
      <c r="H1303" s="25"/>
      <c r="I1303" s="25"/>
      <c r="J1303" s="25"/>
      <c r="K1303" s="25"/>
      <c r="L1303" s="25"/>
      <c r="M1303" s="25"/>
    </row>
    <row r="1304" spans="3:13" x14ac:dyDescent="0.2"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3:13" x14ac:dyDescent="0.2">
      <c r="C1305" s="25"/>
      <c r="D1305" s="25"/>
      <c r="E1305" s="25"/>
      <c r="F1305" s="25"/>
      <c r="G1305" s="25"/>
      <c r="H1305" s="25"/>
      <c r="I1305" s="25"/>
      <c r="J1305" s="25"/>
      <c r="K1305" s="25"/>
      <c r="L1305" s="25"/>
      <c r="M1305" s="25"/>
    </row>
    <row r="1306" spans="3:13" x14ac:dyDescent="0.2"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3:13" x14ac:dyDescent="0.2">
      <c r="C1307" s="25"/>
      <c r="D1307" s="25"/>
      <c r="E1307" s="25"/>
      <c r="F1307" s="25"/>
      <c r="G1307" s="25"/>
      <c r="H1307" s="25"/>
      <c r="I1307" s="25"/>
      <c r="J1307" s="25"/>
      <c r="K1307" s="25"/>
      <c r="L1307" s="25"/>
      <c r="M1307" s="25"/>
    </row>
    <row r="1308" spans="3:13" x14ac:dyDescent="0.2"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3:13" x14ac:dyDescent="0.2">
      <c r="C1309" s="25"/>
      <c r="D1309" s="25"/>
      <c r="E1309" s="25"/>
      <c r="F1309" s="25"/>
      <c r="G1309" s="25"/>
      <c r="H1309" s="25"/>
      <c r="I1309" s="25"/>
      <c r="J1309" s="25"/>
      <c r="K1309" s="25"/>
      <c r="L1309" s="25"/>
      <c r="M1309" s="25"/>
    </row>
    <row r="1310" spans="3:13" x14ac:dyDescent="0.2"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3:13" x14ac:dyDescent="0.2">
      <c r="C1311" s="25"/>
      <c r="D1311" s="25"/>
      <c r="E1311" s="25"/>
      <c r="F1311" s="25"/>
      <c r="G1311" s="25"/>
      <c r="H1311" s="25"/>
      <c r="I1311" s="25"/>
      <c r="J1311" s="25"/>
      <c r="K1311" s="25"/>
      <c r="L1311" s="25"/>
      <c r="M1311" s="25"/>
    </row>
    <row r="1312" spans="3:13" x14ac:dyDescent="0.2"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3:13" x14ac:dyDescent="0.2">
      <c r="C1313" s="25"/>
      <c r="D1313" s="25"/>
      <c r="E1313" s="25"/>
      <c r="F1313" s="25"/>
      <c r="G1313" s="25"/>
      <c r="H1313" s="25"/>
      <c r="I1313" s="25"/>
      <c r="J1313" s="25"/>
      <c r="K1313" s="25"/>
      <c r="L1313" s="25"/>
      <c r="M1313" s="25"/>
    </row>
    <row r="1314" spans="3:13" x14ac:dyDescent="0.2"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3:13" x14ac:dyDescent="0.2">
      <c r="C1315" s="25"/>
      <c r="D1315" s="25"/>
      <c r="E1315" s="25"/>
      <c r="F1315" s="25"/>
      <c r="G1315" s="25"/>
      <c r="H1315" s="25"/>
      <c r="I1315" s="25"/>
      <c r="J1315" s="25"/>
      <c r="K1315" s="25"/>
      <c r="L1315" s="25"/>
      <c r="M1315" s="25"/>
    </row>
    <row r="1316" spans="3:13" x14ac:dyDescent="0.2"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3:13" x14ac:dyDescent="0.2">
      <c r="C1317" s="25"/>
      <c r="D1317" s="25"/>
      <c r="E1317" s="25"/>
      <c r="F1317" s="25"/>
      <c r="G1317" s="25"/>
      <c r="H1317" s="25"/>
      <c r="I1317" s="25"/>
      <c r="J1317" s="25"/>
      <c r="K1317" s="25"/>
      <c r="L1317" s="25"/>
      <c r="M1317" s="25"/>
    </row>
    <row r="1318" spans="3:13" x14ac:dyDescent="0.2"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3:13" x14ac:dyDescent="0.2">
      <c r="C1319" s="25"/>
      <c r="D1319" s="25"/>
      <c r="E1319" s="25"/>
      <c r="F1319" s="25"/>
      <c r="G1319" s="25"/>
      <c r="H1319" s="25"/>
      <c r="I1319" s="25"/>
      <c r="J1319" s="25"/>
      <c r="K1319" s="25"/>
      <c r="L1319" s="25"/>
      <c r="M1319" s="25"/>
    </row>
    <row r="1320" spans="3:13" x14ac:dyDescent="0.2"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3:13" x14ac:dyDescent="0.2">
      <c r="C1321" s="25"/>
      <c r="D1321" s="25"/>
      <c r="E1321" s="25"/>
      <c r="F1321" s="25"/>
      <c r="G1321" s="25"/>
      <c r="H1321" s="25"/>
      <c r="I1321" s="25"/>
      <c r="J1321" s="25"/>
      <c r="K1321" s="25"/>
      <c r="L1321" s="25"/>
      <c r="M1321" s="25"/>
    </row>
    <row r="1322" spans="3:13" x14ac:dyDescent="0.2"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3:13" x14ac:dyDescent="0.2">
      <c r="C1323" s="25"/>
      <c r="D1323" s="25"/>
      <c r="E1323" s="25"/>
      <c r="F1323" s="25"/>
      <c r="G1323" s="25"/>
      <c r="H1323" s="25"/>
      <c r="I1323" s="25"/>
      <c r="J1323" s="25"/>
      <c r="K1323" s="25"/>
      <c r="L1323" s="25"/>
      <c r="M1323" s="25"/>
    </row>
    <row r="1324" spans="3:13" x14ac:dyDescent="0.2"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3:13" x14ac:dyDescent="0.2">
      <c r="C1325" s="25"/>
      <c r="D1325" s="25"/>
      <c r="E1325" s="25"/>
      <c r="F1325" s="25"/>
      <c r="G1325" s="25"/>
      <c r="H1325" s="25"/>
      <c r="I1325" s="25"/>
      <c r="J1325" s="25"/>
      <c r="K1325" s="25"/>
      <c r="L1325" s="25"/>
      <c r="M1325" s="25"/>
    </row>
    <row r="1326" spans="3:13" x14ac:dyDescent="0.2"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3:13" x14ac:dyDescent="0.2">
      <c r="C1327" s="25"/>
      <c r="D1327" s="25"/>
      <c r="E1327" s="25"/>
      <c r="F1327" s="25"/>
      <c r="G1327" s="25"/>
      <c r="H1327" s="25"/>
      <c r="I1327" s="25"/>
      <c r="J1327" s="25"/>
      <c r="K1327" s="25"/>
      <c r="L1327" s="25"/>
      <c r="M1327" s="25"/>
    </row>
    <row r="1328" spans="3:13" x14ac:dyDescent="0.2"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3:13" x14ac:dyDescent="0.2">
      <c r="C1329" s="25"/>
      <c r="D1329" s="25"/>
      <c r="E1329" s="25"/>
      <c r="F1329" s="25"/>
      <c r="G1329" s="25"/>
      <c r="H1329" s="25"/>
      <c r="I1329" s="25"/>
      <c r="J1329" s="25"/>
      <c r="K1329" s="25"/>
      <c r="L1329" s="25"/>
      <c r="M1329" s="25"/>
    </row>
    <row r="1330" spans="3:13" x14ac:dyDescent="0.2"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3:13" x14ac:dyDescent="0.2">
      <c r="C1331" s="25"/>
      <c r="D1331" s="25"/>
      <c r="E1331" s="25"/>
      <c r="F1331" s="25"/>
      <c r="G1331" s="25"/>
      <c r="H1331" s="25"/>
      <c r="I1331" s="25"/>
      <c r="J1331" s="25"/>
      <c r="K1331" s="25"/>
      <c r="L1331" s="25"/>
      <c r="M1331" s="25"/>
    </row>
    <row r="1332" spans="3:13" x14ac:dyDescent="0.2"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3:13" x14ac:dyDescent="0.2">
      <c r="C1333" s="25"/>
      <c r="D1333" s="25"/>
      <c r="E1333" s="25"/>
      <c r="F1333" s="25"/>
      <c r="G1333" s="25"/>
      <c r="H1333" s="25"/>
      <c r="I1333" s="25"/>
      <c r="J1333" s="25"/>
      <c r="K1333" s="25"/>
      <c r="L1333" s="25"/>
      <c r="M1333" s="25"/>
    </row>
    <row r="1334" spans="3:13" x14ac:dyDescent="0.2"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3:13" x14ac:dyDescent="0.2">
      <c r="C1335" s="25"/>
      <c r="D1335" s="25"/>
      <c r="E1335" s="25"/>
      <c r="F1335" s="25"/>
      <c r="G1335" s="25"/>
      <c r="H1335" s="25"/>
      <c r="I1335" s="25"/>
      <c r="J1335" s="25"/>
      <c r="K1335" s="25"/>
      <c r="L1335" s="25"/>
      <c r="M1335" s="25"/>
    </row>
    <row r="1336" spans="3:13" x14ac:dyDescent="0.2"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3:13" x14ac:dyDescent="0.2">
      <c r="C1337" s="25"/>
      <c r="D1337" s="25"/>
      <c r="E1337" s="25"/>
      <c r="F1337" s="25"/>
      <c r="G1337" s="25"/>
      <c r="H1337" s="25"/>
      <c r="I1337" s="25"/>
      <c r="J1337" s="25"/>
      <c r="K1337" s="25"/>
      <c r="L1337" s="25"/>
      <c r="M1337" s="25"/>
    </row>
    <row r="1338" spans="3:13" x14ac:dyDescent="0.2"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3:13" x14ac:dyDescent="0.2">
      <c r="C1339" s="25"/>
      <c r="D1339" s="25"/>
      <c r="E1339" s="25"/>
      <c r="F1339" s="25"/>
      <c r="G1339" s="25"/>
      <c r="H1339" s="25"/>
      <c r="I1339" s="25"/>
      <c r="J1339" s="25"/>
      <c r="K1339" s="25"/>
      <c r="L1339" s="25"/>
      <c r="M1339" s="25"/>
    </row>
    <row r="1340" spans="3:13" x14ac:dyDescent="0.2"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3:13" x14ac:dyDescent="0.2">
      <c r="C1341" s="25"/>
      <c r="D1341" s="25"/>
      <c r="E1341" s="25"/>
      <c r="F1341" s="25"/>
      <c r="G1341" s="25"/>
      <c r="H1341" s="25"/>
      <c r="I1341" s="25"/>
      <c r="J1341" s="25"/>
      <c r="K1341" s="25"/>
      <c r="L1341" s="25"/>
      <c r="M1341" s="25"/>
    </row>
    <row r="1342" spans="3:13" x14ac:dyDescent="0.2"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3:13" x14ac:dyDescent="0.2">
      <c r="C1343" s="25"/>
      <c r="D1343" s="25"/>
      <c r="E1343" s="25"/>
      <c r="F1343" s="25"/>
      <c r="G1343" s="25"/>
      <c r="H1343" s="25"/>
      <c r="I1343" s="25"/>
      <c r="J1343" s="25"/>
      <c r="K1343" s="25"/>
      <c r="L1343" s="25"/>
      <c r="M1343" s="25"/>
    </row>
    <row r="1344" spans="3:13" x14ac:dyDescent="0.2"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3:13" x14ac:dyDescent="0.2">
      <c r="C1345" s="25"/>
      <c r="D1345" s="25"/>
      <c r="E1345" s="25"/>
      <c r="F1345" s="25"/>
      <c r="G1345" s="25"/>
      <c r="H1345" s="25"/>
      <c r="I1345" s="25"/>
      <c r="J1345" s="25"/>
      <c r="K1345" s="25"/>
      <c r="L1345" s="25"/>
      <c r="M1345" s="25"/>
    </row>
    <row r="1346" spans="3:13" x14ac:dyDescent="0.2"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3:13" x14ac:dyDescent="0.2">
      <c r="C1347" s="25"/>
      <c r="D1347" s="25"/>
      <c r="E1347" s="25"/>
      <c r="F1347" s="25"/>
      <c r="G1347" s="25"/>
      <c r="H1347" s="25"/>
      <c r="I1347" s="25"/>
      <c r="J1347" s="25"/>
      <c r="K1347" s="25"/>
      <c r="L1347" s="25"/>
      <c r="M1347" s="25"/>
    </row>
    <row r="1348" spans="3:13" x14ac:dyDescent="0.2"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3:13" x14ac:dyDescent="0.2">
      <c r="C1349" s="25"/>
      <c r="D1349" s="25"/>
      <c r="E1349" s="25"/>
      <c r="F1349" s="25"/>
      <c r="G1349" s="25"/>
      <c r="H1349" s="25"/>
      <c r="I1349" s="25"/>
      <c r="J1349" s="25"/>
      <c r="K1349" s="25"/>
      <c r="L1349" s="25"/>
      <c r="M1349" s="25"/>
    </row>
    <row r="1350" spans="3:13" x14ac:dyDescent="0.2"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3:13" x14ac:dyDescent="0.2">
      <c r="C1351" s="25"/>
      <c r="D1351" s="25"/>
      <c r="E1351" s="25"/>
      <c r="F1351" s="25"/>
      <c r="G1351" s="25"/>
      <c r="H1351" s="25"/>
      <c r="I1351" s="25"/>
      <c r="J1351" s="25"/>
      <c r="K1351" s="25"/>
      <c r="L1351" s="25"/>
      <c r="M1351" s="25"/>
    </row>
    <row r="1352" spans="3:13" x14ac:dyDescent="0.2"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3:13" x14ac:dyDescent="0.2">
      <c r="C1353" s="25"/>
      <c r="D1353" s="25"/>
      <c r="E1353" s="25"/>
      <c r="F1353" s="25"/>
      <c r="G1353" s="25"/>
      <c r="H1353" s="25"/>
      <c r="I1353" s="25"/>
      <c r="J1353" s="25"/>
      <c r="K1353" s="25"/>
      <c r="L1353" s="25"/>
      <c r="M1353" s="25"/>
    </row>
    <row r="1354" spans="3:13" x14ac:dyDescent="0.2"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3:13" x14ac:dyDescent="0.2">
      <c r="C1355" s="25"/>
      <c r="D1355" s="25"/>
      <c r="E1355" s="25"/>
      <c r="F1355" s="25"/>
      <c r="G1355" s="25"/>
      <c r="H1355" s="25"/>
      <c r="I1355" s="25"/>
      <c r="J1355" s="25"/>
      <c r="K1355" s="25"/>
      <c r="L1355" s="25"/>
      <c r="M1355" s="25"/>
    </row>
    <row r="1356" spans="3:13" x14ac:dyDescent="0.2"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3:13" x14ac:dyDescent="0.2">
      <c r="C1357" s="25"/>
      <c r="D1357" s="25"/>
      <c r="E1357" s="25"/>
      <c r="F1357" s="25"/>
      <c r="G1357" s="25"/>
      <c r="H1357" s="25"/>
      <c r="I1357" s="25"/>
      <c r="J1357" s="25"/>
      <c r="K1357" s="25"/>
      <c r="L1357" s="25"/>
      <c r="M1357" s="25"/>
    </row>
    <row r="1358" spans="3:13" x14ac:dyDescent="0.2"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3:13" x14ac:dyDescent="0.2">
      <c r="C1359" s="25"/>
      <c r="D1359" s="25"/>
      <c r="E1359" s="25"/>
      <c r="F1359" s="25"/>
      <c r="G1359" s="25"/>
      <c r="H1359" s="25"/>
      <c r="I1359" s="25"/>
      <c r="J1359" s="25"/>
      <c r="K1359" s="25"/>
      <c r="L1359" s="25"/>
      <c r="M1359" s="25"/>
    </row>
    <row r="1360" spans="3:13" x14ac:dyDescent="0.2"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3:13" x14ac:dyDescent="0.2">
      <c r="C1361" s="25"/>
      <c r="D1361" s="25"/>
      <c r="E1361" s="25"/>
      <c r="F1361" s="25"/>
      <c r="G1361" s="25"/>
      <c r="H1361" s="25"/>
      <c r="I1361" s="25"/>
      <c r="J1361" s="25"/>
      <c r="K1361" s="25"/>
      <c r="L1361" s="25"/>
      <c r="M1361" s="25"/>
    </row>
    <row r="1362" spans="3:13" x14ac:dyDescent="0.2"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3:13" x14ac:dyDescent="0.2">
      <c r="C1363" s="25"/>
      <c r="D1363" s="25"/>
      <c r="E1363" s="25"/>
      <c r="F1363" s="25"/>
      <c r="G1363" s="25"/>
      <c r="H1363" s="25"/>
      <c r="I1363" s="25"/>
      <c r="J1363" s="25"/>
      <c r="K1363" s="25"/>
      <c r="L1363" s="25"/>
      <c r="M1363" s="25"/>
    </row>
    <row r="1364" spans="3:13" x14ac:dyDescent="0.2"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3:13" x14ac:dyDescent="0.2">
      <c r="C1365" s="25"/>
      <c r="D1365" s="25"/>
      <c r="E1365" s="25"/>
      <c r="F1365" s="25"/>
      <c r="G1365" s="25"/>
      <c r="H1365" s="25"/>
      <c r="I1365" s="25"/>
      <c r="J1365" s="25"/>
      <c r="K1365" s="25"/>
      <c r="L1365" s="25"/>
      <c r="M1365" s="25"/>
    </row>
    <row r="1366" spans="3:13" x14ac:dyDescent="0.2"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3:13" x14ac:dyDescent="0.2">
      <c r="C1367" s="25"/>
      <c r="D1367" s="25"/>
      <c r="E1367" s="25"/>
      <c r="F1367" s="25"/>
      <c r="G1367" s="25"/>
      <c r="H1367" s="25"/>
      <c r="I1367" s="25"/>
      <c r="J1367" s="25"/>
      <c r="K1367" s="25"/>
      <c r="L1367" s="25"/>
      <c r="M1367" s="25"/>
    </row>
    <row r="1368" spans="3:13" x14ac:dyDescent="0.2"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3:13" x14ac:dyDescent="0.2">
      <c r="C1369" s="25"/>
      <c r="D1369" s="25"/>
      <c r="E1369" s="25"/>
      <c r="F1369" s="25"/>
      <c r="G1369" s="25"/>
      <c r="H1369" s="25"/>
      <c r="I1369" s="25"/>
      <c r="J1369" s="25"/>
      <c r="K1369" s="25"/>
      <c r="L1369" s="25"/>
      <c r="M1369" s="25"/>
    </row>
    <row r="1370" spans="3:13" x14ac:dyDescent="0.2"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3:13" x14ac:dyDescent="0.2">
      <c r="C1371" s="25"/>
      <c r="D1371" s="25"/>
      <c r="E1371" s="25"/>
      <c r="F1371" s="25"/>
      <c r="G1371" s="25"/>
      <c r="H1371" s="25"/>
      <c r="I1371" s="25"/>
      <c r="J1371" s="25"/>
      <c r="K1371" s="25"/>
      <c r="L1371" s="25"/>
      <c r="M1371" s="25"/>
    </row>
    <row r="1372" spans="3:13" x14ac:dyDescent="0.2"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3:13" x14ac:dyDescent="0.2">
      <c r="C1373" s="25"/>
      <c r="D1373" s="25"/>
      <c r="E1373" s="25"/>
      <c r="F1373" s="25"/>
      <c r="G1373" s="25"/>
      <c r="H1373" s="25"/>
      <c r="I1373" s="25"/>
      <c r="J1373" s="25"/>
      <c r="K1373" s="25"/>
      <c r="L1373" s="25"/>
      <c r="M1373" s="25"/>
    </row>
    <row r="1374" spans="3:13" x14ac:dyDescent="0.2"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3:13" x14ac:dyDescent="0.2">
      <c r="C1375" s="25"/>
      <c r="D1375" s="25"/>
      <c r="E1375" s="25"/>
      <c r="F1375" s="25"/>
      <c r="G1375" s="25"/>
      <c r="H1375" s="25"/>
      <c r="I1375" s="25"/>
      <c r="J1375" s="25"/>
      <c r="K1375" s="25"/>
      <c r="L1375" s="25"/>
      <c r="M1375" s="25"/>
    </row>
    <row r="1376" spans="3:13" x14ac:dyDescent="0.2"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3:13" x14ac:dyDescent="0.2">
      <c r="C1377" s="25"/>
      <c r="D1377" s="25"/>
      <c r="E1377" s="25"/>
      <c r="F1377" s="25"/>
      <c r="G1377" s="25"/>
      <c r="H1377" s="25"/>
      <c r="I1377" s="25"/>
      <c r="J1377" s="25"/>
      <c r="K1377" s="25"/>
      <c r="L1377" s="25"/>
      <c r="M1377" s="25"/>
    </row>
    <row r="1378" spans="3:13" x14ac:dyDescent="0.2"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3:13" x14ac:dyDescent="0.2">
      <c r="C1379" s="25"/>
      <c r="D1379" s="25"/>
      <c r="E1379" s="25"/>
      <c r="F1379" s="25"/>
      <c r="G1379" s="25"/>
      <c r="H1379" s="25"/>
      <c r="I1379" s="25"/>
      <c r="J1379" s="25"/>
      <c r="K1379" s="25"/>
      <c r="L1379" s="25"/>
      <c r="M1379" s="25"/>
    </row>
    <row r="1380" spans="3:13" x14ac:dyDescent="0.2"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3:13" x14ac:dyDescent="0.2">
      <c r="C1381" s="25"/>
      <c r="D1381" s="25"/>
      <c r="E1381" s="25"/>
      <c r="F1381" s="25"/>
      <c r="G1381" s="25"/>
      <c r="H1381" s="25"/>
      <c r="I1381" s="25"/>
      <c r="J1381" s="25"/>
      <c r="K1381" s="25"/>
      <c r="L1381" s="25"/>
      <c r="M1381" s="25"/>
    </row>
    <row r="1382" spans="3:13" x14ac:dyDescent="0.2"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3:13" x14ac:dyDescent="0.2">
      <c r="C1383" s="25"/>
      <c r="D1383" s="25"/>
      <c r="E1383" s="25"/>
      <c r="F1383" s="25"/>
      <c r="G1383" s="25"/>
      <c r="H1383" s="25"/>
      <c r="I1383" s="25"/>
      <c r="J1383" s="25"/>
      <c r="K1383" s="25"/>
      <c r="L1383" s="25"/>
      <c r="M1383" s="25"/>
    </row>
    <row r="1384" spans="3:13" x14ac:dyDescent="0.2"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3:13" x14ac:dyDescent="0.2">
      <c r="C1385" s="25"/>
      <c r="D1385" s="25"/>
      <c r="E1385" s="25"/>
      <c r="F1385" s="25"/>
      <c r="G1385" s="25"/>
      <c r="H1385" s="25"/>
      <c r="I1385" s="25"/>
      <c r="J1385" s="25"/>
      <c r="K1385" s="25"/>
      <c r="L1385" s="25"/>
      <c r="M1385" s="25"/>
    </row>
    <row r="1386" spans="3:13" x14ac:dyDescent="0.2"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3:13" x14ac:dyDescent="0.2">
      <c r="C1387" s="25"/>
      <c r="D1387" s="25"/>
      <c r="E1387" s="25"/>
      <c r="F1387" s="25"/>
      <c r="G1387" s="25"/>
      <c r="H1387" s="25"/>
      <c r="I1387" s="25"/>
      <c r="J1387" s="25"/>
      <c r="K1387" s="25"/>
      <c r="L1387" s="25"/>
      <c r="M1387" s="25"/>
    </row>
    <row r="1388" spans="3:13" x14ac:dyDescent="0.2"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3:13" x14ac:dyDescent="0.2">
      <c r="C1389" s="25"/>
      <c r="D1389" s="25"/>
      <c r="E1389" s="25"/>
      <c r="F1389" s="25"/>
      <c r="G1389" s="25"/>
      <c r="H1389" s="25"/>
      <c r="I1389" s="25"/>
      <c r="J1389" s="25"/>
      <c r="K1389" s="25"/>
      <c r="L1389" s="25"/>
      <c r="M1389" s="25"/>
    </row>
    <row r="1390" spans="3:13" x14ac:dyDescent="0.2"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3:13" x14ac:dyDescent="0.2">
      <c r="C1391" s="25"/>
      <c r="D1391" s="25"/>
      <c r="E1391" s="25"/>
      <c r="F1391" s="25"/>
      <c r="G1391" s="25"/>
      <c r="H1391" s="25"/>
      <c r="I1391" s="25"/>
      <c r="J1391" s="25"/>
      <c r="K1391" s="25"/>
      <c r="L1391" s="25"/>
      <c r="M1391" s="25"/>
    </row>
    <row r="1392" spans="3:13" x14ac:dyDescent="0.2"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3:13" x14ac:dyDescent="0.2">
      <c r="C1393" s="25"/>
      <c r="D1393" s="25"/>
      <c r="E1393" s="25"/>
      <c r="F1393" s="25"/>
      <c r="G1393" s="25"/>
      <c r="H1393" s="25"/>
      <c r="I1393" s="25"/>
      <c r="J1393" s="25"/>
      <c r="K1393" s="25"/>
      <c r="L1393" s="25"/>
      <c r="M1393" s="25"/>
    </row>
    <row r="1394" spans="3:13" x14ac:dyDescent="0.2"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3:13" x14ac:dyDescent="0.2">
      <c r="C1395" s="25"/>
      <c r="D1395" s="25"/>
      <c r="E1395" s="25"/>
      <c r="F1395" s="25"/>
      <c r="G1395" s="25"/>
      <c r="H1395" s="25"/>
      <c r="I1395" s="25"/>
      <c r="J1395" s="25"/>
      <c r="K1395" s="25"/>
      <c r="L1395" s="25"/>
      <c r="M1395" s="25"/>
    </row>
    <row r="1396" spans="3:13" x14ac:dyDescent="0.2"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3:13" x14ac:dyDescent="0.2">
      <c r="C1397" s="25"/>
      <c r="D1397" s="25"/>
      <c r="E1397" s="25"/>
      <c r="F1397" s="25"/>
      <c r="G1397" s="25"/>
      <c r="H1397" s="25"/>
      <c r="I1397" s="25"/>
      <c r="J1397" s="25"/>
      <c r="K1397" s="25"/>
      <c r="L1397" s="25"/>
      <c r="M1397" s="25"/>
    </row>
    <row r="1398" spans="3:13" x14ac:dyDescent="0.2"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3:13" x14ac:dyDescent="0.2">
      <c r="C1399" s="25"/>
      <c r="D1399" s="25"/>
      <c r="E1399" s="25"/>
      <c r="F1399" s="25"/>
      <c r="G1399" s="25"/>
      <c r="H1399" s="25"/>
      <c r="I1399" s="25"/>
      <c r="J1399" s="25"/>
      <c r="K1399" s="25"/>
      <c r="L1399" s="25"/>
      <c r="M1399" s="25"/>
    </row>
    <row r="1400" spans="3:13" x14ac:dyDescent="0.2"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3:13" x14ac:dyDescent="0.2">
      <c r="C1401" s="25"/>
      <c r="D1401" s="25"/>
      <c r="E1401" s="25"/>
      <c r="F1401" s="25"/>
      <c r="G1401" s="25"/>
      <c r="H1401" s="25"/>
      <c r="I1401" s="25"/>
      <c r="J1401" s="25"/>
      <c r="K1401" s="25"/>
      <c r="L1401" s="25"/>
      <c r="M1401" s="25"/>
    </row>
    <row r="1402" spans="3:13" x14ac:dyDescent="0.2"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3:13" x14ac:dyDescent="0.2">
      <c r="C1403" s="25"/>
      <c r="D1403" s="25"/>
      <c r="E1403" s="25"/>
      <c r="F1403" s="25"/>
      <c r="G1403" s="25"/>
      <c r="H1403" s="25"/>
      <c r="I1403" s="25"/>
      <c r="J1403" s="25"/>
      <c r="K1403" s="25"/>
      <c r="L1403" s="25"/>
      <c r="M1403" s="25"/>
    </row>
    <row r="1404" spans="3:13" x14ac:dyDescent="0.2"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3:13" x14ac:dyDescent="0.2">
      <c r="C1405" s="25"/>
      <c r="D1405" s="25"/>
      <c r="E1405" s="25"/>
      <c r="F1405" s="25"/>
      <c r="G1405" s="25"/>
      <c r="H1405" s="25"/>
      <c r="I1405" s="25"/>
      <c r="J1405" s="25"/>
      <c r="K1405" s="25"/>
      <c r="L1405" s="25"/>
      <c r="M1405" s="25"/>
    </row>
    <row r="1406" spans="3:13" x14ac:dyDescent="0.2"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3:13" x14ac:dyDescent="0.2">
      <c r="C1407" s="25"/>
      <c r="D1407" s="25"/>
      <c r="E1407" s="25"/>
      <c r="F1407" s="25"/>
      <c r="G1407" s="25"/>
      <c r="H1407" s="25"/>
      <c r="I1407" s="25"/>
      <c r="J1407" s="25"/>
      <c r="K1407" s="25"/>
      <c r="L1407" s="25"/>
      <c r="M1407" s="25"/>
    </row>
    <row r="1408" spans="3:13" x14ac:dyDescent="0.2"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3:13" x14ac:dyDescent="0.2">
      <c r="C1409" s="25"/>
      <c r="D1409" s="25"/>
      <c r="E1409" s="25"/>
      <c r="F1409" s="25"/>
      <c r="G1409" s="25"/>
      <c r="H1409" s="25"/>
      <c r="I1409" s="25"/>
      <c r="J1409" s="25"/>
      <c r="K1409" s="25"/>
      <c r="L1409" s="25"/>
      <c r="M1409" s="25"/>
    </row>
    <row r="1410" spans="3:13" x14ac:dyDescent="0.2"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3:13" x14ac:dyDescent="0.2">
      <c r="C1411" s="25"/>
      <c r="D1411" s="25"/>
      <c r="E1411" s="25"/>
      <c r="F1411" s="25"/>
      <c r="G1411" s="25"/>
      <c r="H1411" s="25"/>
      <c r="I1411" s="25"/>
      <c r="J1411" s="25"/>
      <c r="K1411" s="25"/>
      <c r="L1411" s="25"/>
      <c r="M1411" s="25"/>
    </row>
    <row r="1412" spans="3:13" x14ac:dyDescent="0.2"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3:13" x14ac:dyDescent="0.2">
      <c r="C1413" s="25"/>
      <c r="D1413" s="25"/>
      <c r="E1413" s="25"/>
      <c r="F1413" s="25"/>
      <c r="G1413" s="25"/>
      <c r="H1413" s="25"/>
      <c r="I1413" s="25"/>
      <c r="J1413" s="25"/>
      <c r="K1413" s="25"/>
      <c r="L1413" s="25"/>
      <c r="M1413" s="25"/>
    </row>
    <row r="1414" spans="3:13" x14ac:dyDescent="0.2"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3:13" x14ac:dyDescent="0.2">
      <c r="C1415" s="25"/>
      <c r="D1415" s="25"/>
      <c r="E1415" s="25"/>
      <c r="F1415" s="25"/>
      <c r="G1415" s="25"/>
      <c r="H1415" s="25"/>
      <c r="I1415" s="25"/>
      <c r="J1415" s="25"/>
      <c r="K1415" s="25"/>
      <c r="L1415" s="25"/>
      <c r="M1415" s="25"/>
    </row>
    <row r="1416" spans="3:13" x14ac:dyDescent="0.2"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3:13" x14ac:dyDescent="0.2">
      <c r="C1417" s="25"/>
      <c r="D1417" s="25"/>
      <c r="E1417" s="25"/>
      <c r="F1417" s="25"/>
      <c r="G1417" s="25"/>
      <c r="H1417" s="25"/>
      <c r="I1417" s="25"/>
      <c r="J1417" s="25"/>
      <c r="K1417" s="25"/>
      <c r="L1417" s="25"/>
      <c r="M1417" s="25"/>
    </row>
    <row r="1418" spans="3:13" x14ac:dyDescent="0.2"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3:13" x14ac:dyDescent="0.2">
      <c r="C1419" s="25"/>
      <c r="D1419" s="25"/>
      <c r="E1419" s="25"/>
      <c r="F1419" s="25"/>
      <c r="G1419" s="25"/>
      <c r="H1419" s="25"/>
      <c r="I1419" s="25"/>
      <c r="J1419" s="25"/>
      <c r="K1419" s="25"/>
      <c r="L1419" s="25"/>
      <c r="M1419" s="25"/>
    </row>
    <row r="1420" spans="3:13" x14ac:dyDescent="0.2"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3:13" x14ac:dyDescent="0.2">
      <c r="C1421" s="25"/>
      <c r="D1421" s="25"/>
      <c r="E1421" s="25"/>
      <c r="F1421" s="25"/>
      <c r="G1421" s="25"/>
      <c r="H1421" s="25"/>
      <c r="I1421" s="25"/>
      <c r="J1421" s="25"/>
      <c r="K1421" s="25"/>
      <c r="L1421" s="25"/>
      <c r="M1421" s="25"/>
    </row>
    <row r="1422" spans="3:13" x14ac:dyDescent="0.2"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3:13" x14ac:dyDescent="0.2">
      <c r="C1423" s="25"/>
      <c r="D1423" s="25"/>
      <c r="E1423" s="25"/>
      <c r="F1423" s="25"/>
      <c r="G1423" s="25"/>
      <c r="H1423" s="25"/>
      <c r="I1423" s="25"/>
      <c r="J1423" s="25"/>
      <c r="K1423" s="25"/>
      <c r="L1423" s="25"/>
      <c r="M1423" s="25"/>
    </row>
    <row r="1424" spans="3:13" x14ac:dyDescent="0.2"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3:13" x14ac:dyDescent="0.2">
      <c r="C1425" s="25"/>
      <c r="D1425" s="25"/>
      <c r="E1425" s="25"/>
      <c r="F1425" s="25"/>
      <c r="G1425" s="25"/>
      <c r="H1425" s="25"/>
      <c r="I1425" s="25"/>
      <c r="J1425" s="25"/>
      <c r="K1425" s="25"/>
      <c r="L1425" s="25"/>
      <c r="M1425" s="25"/>
    </row>
    <row r="1426" spans="3:13" x14ac:dyDescent="0.2"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3:13" x14ac:dyDescent="0.2">
      <c r="C1427" s="25"/>
      <c r="D1427" s="25"/>
      <c r="E1427" s="25"/>
      <c r="F1427" s="25"/>
      <c r="G1427" s="25"/>
      <c r="H1427" s="25"/>
      <c r="I1427" s="25"/>
      <c r="J1427" s="25"/>
      <c r="K1427" s="25"/>
      <c r="L1427" s="25"/>
      <c r="M1427" s="25"/>
    </row>
    <row r="1428" spans="3:13" x14ac:dyDescent="0.2"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3:13" x14ac:dyDescent="0.2">
      <c r="C1429" s="25"/>
      <c r="D1429" s="25"/>
      <c r="E1429" s="25"/>
      <c r="F1429" s="25"/>
      <c r="G1429" s="25"/>
      <c r="H1429" s="25"/>
      <c r="I1429" s="25"/>
      <c r="J1429" s="25"/>
      <c r="K1429" s="25"/>
      <c r="L1429" s="25"/>
      <c r="M1429" s="25"/>
    </row>
    <row r="1430" spans="3:13" x14ac:dyDescent="0.2"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3:13" x14ac:dyDescent="0.2">
      <c r="C1431" s="25"/>
      <c r="D1431" s="25"/>
      <c r="E1431" s="25"/>
      <c r="F1431" s="25"/>
      <c r="G1431" s="25"/>
      <c r="H1431" s="25"/>
      <c r="I1431" s="25"/>
      <c r="J1431" s="25"/>
      <c r="K1431" s="25"/>
      <c r="L1431" s="25"/>
      <c r="M1431" s="25"/>
    </row>
    <row r="1432" spans="3:13" x14ac:dyDescent="0.2"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3:13" x14ac:dyDescent="0.2">
      <c r="C1433" s="25"/>
      <c r="D1433" s="25"/>
      <c r="E1433" s="25"/>
      <c r="F1433" s="25"/>
      <c r="G1433" s="25"/>
      <c r="H1433" s="25"/>
      <c r="I1433" s="25"/>
      <c r="J1433" s="25"/>
      <c r="K1433" s="25"/>
      <c r="L1433" s="25"/>
      <c r="M1433" s="25"/>
    </row>
    <row r="1434" spans="3:13" x14ac:dyDescent="0.2"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3:13" x14ac:dyDescent="0.2">
      <c r="C1435" s="25"/>
      <c r="D1435" s="25"/>
      <c r="E1435" s="25"/>
      <c r="F1435" s="25"/>
      <c r="G1435" s="25"/>
      <c r="H1435" s="25"/>
      <c r="I1435" s="25"/>
      <c r="J1435" s="25"/>
      <c r="K1435" s="25"/>
      <c r="L1435" s="25"/>
      <c r="M1435" s="25"/>
    </row>
    <row r="1436" spans="3:13" x14ac:dyDescent="0.2"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3:13" x14ac:dyDescent="0.2">
      <c r="C1437" s="25"/>
      <c r="D1437" s="25"/>
      <c r="E1437" s="25"/>
      <c r="F1437" s="25"/>
      <c r="G1437" s="25"/>
      <c r="H1437" s="25"/>
      <c r="I1437" s="25"/>
      <c r="J1437" s="25"/>
      <c r="K1437" s="25"/>
      <c r="L1437" s="25"/>
      <c r="M1437" s="25"/>
    </row>
    <row r="1438" spans="3:13" x14ac:dyDescent="0.2"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3:13" x14ac:dyDescent="0.2">
      <c r="C1439" s="25"/>
      <c r="D1439" s="25"/>
      <c r="E1439" s="25"/>
      <c r="F1439" s="25"/>
      <c r="G1439" s="25"/>
      <c r="H1439" s="25"/>
      <c r="I1439" s="25"/>
      <c r="J1439" s="25"/>
      <c r="K1439" s="25"/>
      <c r="L1439" s="25"/>
      <c r="M1439" s="25"/>
    </row>
    <row r="1440" spans="3:13" x14ac:dyDescent="0.2"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3:13" x14ac:dyDescent="0.2">
      <c r="C1441" s="25"/>
      <c r="D1441" s="25"/>
      <c r="E1441" s="25"/>
      <c r="F1441" s="25"/>
      <c r="G1441" s="25"/>
      <c r="H1441" s="25"/>
      <c r="I1441" s="25"/>
      <c r="J1441" s="25"/>
      <c r="K1441" s="25"/>
      <c r="L1441" s="25"/>
      <c r="M1441" s="25"/>
    </row>
    <row r="1442" spans="3:13" x14ac:dyDescent="0.2"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3:13" x14ac:dyDescent="0.2">
      <c r="C1443" s="25"/>
      <c r="D1443" s="25"/>
      <c r="E1443" s="25"/>
      <c r="F1443" s="25"/>
      <c r="G1443" s="25"/>
      <c r="H1443" s="25"/>
      <c r="I1443" s="25"/>
      <c r="J1443" s="25"/>
      <c r="K1443" s="25"/>
      <c r="L1443" s="25"/>
      <c r="M1443" s="25"/>
    </row>
    <row r="1444" spans="3:13" x14ac:dyDescent="0.2"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3:13" x14ac:dyDescent="0.2">
      <c r="C1445" s="25"/>
      <c r="D1445" s="25"/>
      <c r="E1445" s="25"/>
      <c r="F1445" s="25"/>
      <c r="G1445" s="25"/>
      <c r="H1445" s="25"/>
      <c r="I1445" s="25"/>
      <c r="J1445" s="25"/>
      <c r="K1445" s="25"/>
      <c r="L1445" s="25"/>
      <c r="M1445" s="25"/>
    </row>
    <row r="1446" spans="3:13" x14ac:dyDescent="0.2"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3:13" x14ac:dyDescent="0.2">
      <c r="C1447" s="25"/>
      <c r="D1447" s="25"/>
      <c r="E1447" s="25"/>
      <c r="F1447" s="25"/>
      <c r="G1447" s="25"/>
      <c r="H1447" s="25"/>
      <c r="I1447" s="25"/>
      <c r="J1447" s="25"/>
      <c r="K1447" s="25"/>
      <c r="L1447" s="25"/>
      <c r="M1447" s="25"/>
    </row>
    <row r="1448" spans="3:13" x14ac:dyDescent="0.2"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3:13" x14ac:dyDescent="0.2">
      <c r="C1449" s="25"/>
      <c r="D1449" s="25"/>
      <c r="E1449" s="25"/>
      <c r="F1449" s="25"/>
      <c r="G1449" s="25"/>
      <c r="H1449" s="25"/>
      <c r="I1449" s="25"/>
      <c r="J1449" s="25"/>
      <c r="K1449" s="25"/>
      <c r="L1449" s="25"/>
      <c r="M1449" s="25"/>
    </row>
    <row r="1450" spans="3:13" x14ac:dyDescent="0.2"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3:13" x14ac:dyDescent="0.2">
      <c r="C1451" s="25"/>
      <c r="D1451" s="25"/>
      <c r="E1451" s="25"/>
      <c r="F1451" s="25"/>
      <c r="G1451" s="25"/>
      <c r="H1451" s="25"/>
      <c r="I1451" s="25"/>
      <c r="J1451" s="25"/>
      <c r="K1451" s="25"/>
      <c r="L1451" s="25"/>
      <c r="M1451" s="25"/>
    </row>
    <row r="1452" spans="3:13" x14ac:dyDescent="0.2"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3:13" x14ac:dyDescent="0.2">
      <c r="C1453" s="25"/>
      <c r="D1453" s="25"/>
      <c r="E1453" s="25"/>
      <c r="F1453" s="25"/>
      <c r="G1453" s="25"/>
      <c r="H1453" s="25"/>
      <c r="I1453" s="25"/>
      <c r="J1453" s="25"/>
      <c r="K1453" s="25"/>
      <c r="L1453" s="25"/>
      <c r="M1453" s="25"/>
    </row>
    <row r="1454" spans="3:13" x14ac:dyDescent="0.2"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3:13" x14ac:dyDescent="0.2">
      <c r="C1455" s="25"/>
      <c r="D1455" s="25"/>
      <c r="E1455" s="25"/>
      <c r="F1455" s="25"/>
      <c r="G1455" s="25"/>
      <c r="H1455" s="25"/>
      <c r="I1455" s="25"/>
      <c r="J1455" s="25"/>
      <c r="K1455" s="25"/>
      <c r="L1455" s="25"/>
      <c r="M1455" s="25"/>
    </row>
    <row r="1456" spans="3:13" x14ac:dyDescent="0.2"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3:13" x14ac:dyDescent="0.2">
      <c r="C1457" s="25"/>
      <c r="D1457" s="25"/>
      <c r="E1457" s="25"/>
      <c r="F1457" s="25"/>
      <c r="G1457" s="25"/>
      <c r="H1457" s="25"/>
      <c r="I1457" s="25"/>
      <c r="J1457" s="25"/>
      <c r="K1457" s="25"/>
      <c r="L1457" s="25"/>
      <c r="M1457" s="25"/>
    </row>
    <row r="1458" spans="3:13" x14ac:dyDescent="0.2"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3:13" x14ac:dyDescent="0.2">
      <c r="C1459" s="25"/>
      <c r="D1459" s="25"/>
      <c r="E1459" s="25"/>
      <c r="F1459" s="25"/>
      <c r="G1459" s="25"/>
      <c r="H1459" s="25"/>
      <c r="I1459" s="25"/>
      <c r="J1459" s="25"/>
      <c r="K1459" s="25"/>
      <c r="L1459" s="25"/>
      <c r="M1459" s="25"/>
    </row>
    <row r="1460" spans="3:13" x14ac:dyDescent="0.2"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3:13" x14ac:dyDescent="0.2">
      <c r="C1461" s="25"/>
      <c r="D1461" s="25"/>
      <c r="E1461" s="25"/>
      <c r="F1461" s="25"/>
      <c r="G1461" s="25"/>
      <c r="H1461" s="25"/>
      <c r="I1461" s="25"/>
      <c r="J1461" s="25"/>
      <c r="K1461" s="25"/>
      <c r="L1461" s="25"/>
      <c r="M1461" s="25"/>
    </row>
    <row r="1462" spans="3:13" x14ac:dyDescent="0.2"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3:13" x14ac:dyDescent="0.2">
      <c r="C1463" s="25"/>
      <c r="D1463" s="25"/>
      <c r="E1463" s="25"/>
      <c r="F1463" s="25"/>
      <c r="G1463" s="25"/>
      <c r="H1463" s="25"/>
      <c r="I1463" s="25"/>
      <c r="J1463" s="25"/>
      <c r="K1463" s="25"/>
      <c r="L1463" s="25"/>
      <c r="M1463" s="25"/>
    </row>
    <row r="1464" spans="3:13" x14ac:dyDescent="0.2"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3:13" x14ac:dyDescent="0.2">
      <c r="C1465" s="25"/>
      <c r="D1465" s="25"/>
      <c r="E1465" s="25"/>
      <c r="F1465" s="25"/>
      <c r="G1465" s="25"/>
      <c r="H1465" s="25"/>
      <c r="I1465" s="25"/>
      <c r="J1465" s="25"/>
      <c r="K1465" s="25"/>
      <c r="L1465" s="25"/>
      <c r="M1465" s="25"/>
    </row>
    <row r="1466" spans="3:13" x14ac:dyDescent="0.2"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3:13" x14ac:dyDescent="0.2">
      <c r="C1467" s="25"/>
      <c r="D1467" s="25"/>
      <c r="E1467" s="25"/>
      <c r="F1467" s="25"/>
      <c r="G1467" s="25"/>
      <c r="H1467" s="25"/>
      <c r="I1467" s="25"/>
      <c r="J1467" s="25"/>
      <c r="K1467" s="25"/>
      <c r="L1467" s="25"/>
      <c r="M1467" s="25"/>
    </row>
    <row r="1468" spans="3:13" x14ac:dyDescent="0.2"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3:13" x14ac:dyDescent="0.2">
      <c r="C1469" s="25"/>
      <c r="D1469" s="25"/>
      <c r="E1469" s="25"/>
      <c r="F1469" s="25"/>
      <c r="G1469" s="25"/>
      <c r="H1469" s="25"/>
      <c r="I1469" s="25"/>
      <c r="J1469" s="25"/>
      <c r="K1469" s="25"/>
      <c r="L1469" s="25"/>
      <c r="M1469" s="25"/>
    </row>
    <row r="1470" spans="3:13" x14ac:dyDescent="0.2"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3:13" x14ac:dyDescent="0.2">
      <c r="C1471" s="25"/>
      <c r="D1471" s="25"/>
      <c r="E1471" s="25"/>
      <c r="F1471" s="25"/>
      <c r="G1471" s="25"/>
      <c r="H1471" s="25"/>
      <c r="I1471" s="25"/>
      <c r="J1471" s="25"/>
      <c r="K1471" s="25"/>
      <c r="L1471" s="25"/>
      <c r="M1471" s="25"/>
    </row>
    <row r="1472" spans="3:13" x14ac:dyDescent="0.2"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3:13" x14ac:dyDescent="0.2">
      <c r="C1473" s="25"/>
      <c r="D1473" s="25"/>
      <c r="E1473" s="25"/>
      <c r="F1473" s="25"/>
      <c r="G1473" s="25"/>
      <c r="H1473" s="25"/>
      <c r="I1473" s="25"/>
      <c r="J1473" s="25"/>
      <c r="K1473" s="25"/>
      <c r="L1473" s="25"/>
      <c r="M1473" s="25"/>
    </row>
    <row r="1474" spans="3:13" x14ac:dyDescent="0.2"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3:13" x14ac:dyDescent="0.2">
      <c r="C1475" s="25"/>
      <c r="D1475" s="25"/>
      <c r="E1475" s="25"/>
      <c r="F1475" s="25"/>
      <c r="G1475" s="25"/>
      <c r="H1475" s="25"/>
      <c r="I1475" s="25"/>
      <c r="J1475" s="25"/>
      <c r="K1475" s="25"/>
      <c r="L1475" s="25"/>
      <c r="M1475" s="25"/>
    </row>
    <row r="1476" spans="3:13" x14ac:dyDescent="0.2"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3:13" x14ac:dyDescent="0.2">
      <c r="C1477" s="25"/>
      <c r="D1477" s="25"/>
      <c r="E1477" s="25"/>
      <c r="F1477" s="25"/>
      <c r="G1477" s="25"/>
      <c r="H1477" s="25"/>
      <c r="I1477" s="25"/>
      <c r="J1477" s="25"/>
      <c r="K1477" s="25"/>
      <c r="L1477" s="25"/>
      <c r="M1477" s="25"/>
    </row>
    <row r="1478" spans="3:13" x14ac:dyDescent="0.2"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3:13" x14ac:dyDescent="0.2">
      <c r="C1479" s="25"/>
      <c r="D1479" s="25"/>
      <c r="E1479" s="25"/>
      <c r="F1479" s="25"/>
      <c r="G1479" s="25"/>
      <c r="H1479" s="25"/>
      <c r="I1479" s="25"/>
      <c r="J1479" s="25"/>
      <c r="K1479" s="25"/>
      <c r="L1479" s="25"/>
      <c r="M1479" s="25"/>
    </row>
    <row r="1480" spans="3:13" x14ac:dyDescent="0.2"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3:13" x14ac:dyDescent="0.2">
      <c r="C1481" s="25"/>
      <c r="D1481" s="25"/>
      <c r="E1481" s="25"/>
      <c r="F1481" s="25"/>
      <c r="G1481" s="25"/>
      <c r="H1481" s="25"/>
      <c r="I1481" s="25"/>
      <c r="J1481" s="25"/>
      <c r="K1481" s="25"/>
      <c r="L1481" s="25"/>
      <c r="M1481" s="25"/>
    </row>
    <row r="1482" spans="3:13" x14ac:dyDescent="0.2"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3:13" x14ac:dyDescent="0.2">
      <c r="C1483" s="25"/>
      <c r="D1483" s="25"/>
      <c r="E1483" s="25"/>
      <c r="F1483" s="25"/>
      <c r="G1483" s="25"/>
      <c r="H1483" s="25"/>
      <c r="I1483" s="25"/>
      <c r="J1483" s="25"/>
      <c r="K1483" s="25"/>
      <c r="L1483" s="25"/>
      <c r="M1483" s="25"/>
    </row>
    <row r="1484" spans="3:13" x14ac:dyDescent="0.2"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3:13" x14ac:dyDescent="0.2">
      <c r="C1485" s="25"/>
      <c r="D1485" s="25"/>
      <c r="E1485" s="25"/>
      <c r="F1485" s="25"/>
      <c r="G1485" s="25"/>
      <c r="H1485" s="25"/>
      <c r="I1485" s="25"/>
      <c r="J1485" s="25"/>
      <c r="K1485" s="25"/>
      <c r="L1485" s="25"/>
      <c r="M1485" s="25"/>
    </row>
    <row r="1486" spans="3:13" x14ac:dyDescent="0.2"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3:13" x14ac:dyDescent="0.2">
      <c r="C1487" s="25"/>
      <c r="D1487" s="25"/>
      <c r="E1487" s="25"/>
      <c r="F1487" s="25"/>
      <c r="G1487" s="25"/>
      <c r="H1487" s="25"/>
      <c r="I1487" s="25"/>
      <c r="J1487" s="25"/>
      <c r="K1487" s="25"/>
      <c r="L1487" s="25"/>
      <c r="M1487" s="25"/>
    </row>
    <row r="1488" spans="3:13" x14ac:dyDescent="0.2"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3:13" x14ac:dyDescent="0.2">
      <c r="C1489" s="25"/>
      <c r="D1489" s="25"/>
      <c r="E1489" s="25"/>
      <c r="F1489" s="25"/>
      <c r="G1489" s="25"/>
      <c r="H1489" s="25"/>
      <c r="I1489" s="25"/>
      <c r="J1489" s="25"/>
      <c r="K1489" s="25"/>
      <c r="L1489" s="25"/>
      <c r="M1489" s="25"/>
    </row>
    <row r="1490" spans="3:13" x14ac:dyDescent="0.2"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3:13" x14ac:dyDescent="0.2">
      <c r="C1491" s="25"/>
      <c r="D1491" s="25"/>
      <c r="E1491" s="25"/>
      <c r="F1491" s="25"/>
      <c r="G1491" s="25"/>
      <c r="H1491" s="25"/>
      <c r="I1491" s="25"/>
      <c r="J1491" s="25"/>
      <c r="K1491" s="25"/>
      <c r="L1491" s="25"/>
      <c r="M1491" s="25"/>
    </row>
    <row r="1492" spans="3:13" x14ac:dyDescent="0.2"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3:13" x14ac:dyDescent="0.2"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25"/>
    </row>
    <row r="1494" spans="3:13" x14ac:dyDescent="0.2"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3:13" x14ac:dyDescent="0.2"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25"/>
    </row>
    <row r="1496" spans="3:13" x14ac:dyDescent="0.2"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3:13" x14ac:dyDescent="0.2">
      <c r="C1497" s="25"/>
      <c r="D1497" s="25"/>
      <c r="E1497" s="25"/>
      <c r="F1497" s="25"/>
      <c r="G1497" s="25"/>
      <c r="H1497" s="25"/>
      <c r="I1497" s="25"/>
      <c r="J1497" s="25"/>
      <c r="K1497" s="25"/>
      <c r="L1497" s="25"/>
      <c r="M1497" s="25"/>
    </row>
    <row r="1498" spans="3:13" x14ac:dyDescent="0.2"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3:13" x14ac:dyDescent="0.2">
      <c r="C1499" s="25"/>
      <c r="D1499" s="25"/>
      <c r="E1499" s="25"/>
      <c r="F1499" s="25"/>
      <c r="G1499" s="25"/>
      <c r="H1499" s="25"/>
      <c r="I1499" s="25"/>
      <c r="J1499" s="25"/>
      <c r="K1499" s="25"/>
      <c r="L1499" s="25"/>
      <c r="M1499" s="25"/>
    </row>
    <row r="1500" spans="3:13" x14ac:dyDescent="0.2"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3:13" x14ac:dyDescent="0.2">
      <c r="C1501" s="25"/>
      <c r="D1501" s="25"/>
      <c r="E1501" s="25"/>
      <c r="F1501" s="25"/>
      <c r="G1501" s="25"/>
      <c r="H1501" s="25"/>
      <c r="I1501" s="25"/>
      <c r="J1501" s="25"/>
      <c r="K1501" s="25"/>
      <c r="L1501" s="25"/>
      <c r="M1501" s="25"/>
    </row>
    <row r="1502" spans="3:13" x14ac:dyDescent="0.2"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3:13" x14ac:dyDescent="0.2">
      <c r="C1503" s="25"/>
      <c r="D1503" s="25"/>
      <c r="E1503" s="25"/>
      <c r="F1503" s="25"/>
      <c r="G1503" s="25"/>
      <c r="H1503" s="25"/>
      <c r="I1503" s="25"/>
      <c r="J1503" s="25"/>
      <c r="K1503" s="25"/>
      <c r="L1503" s="25"/>
      <c r="M1503" s="25"/>
    </row>
    <row r="1504" spans="3:13" x14ac:dyDescent="0.2"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3:13" x14ac:dyDescent="0.2">
      <c r="C1505" s="25"/>
      <c r="D1505" s="25"/>
      <c r="E1505" s="25"/>
      <c r="F1505" s="25"/>
      <c r="G1505" s="25"/>
      <c r="H1505" s="25"/>
      <c r="I1505" s="25"/>
      <c r="J1505" s="25"/>
      <c r="K1505" s="25"/>
      <c r="L1505" s="25"/>
      <c r="M1505" s="25"/>
    </row>
    <row r="1506" spans="3:13" x14ac:dyDescent="0.2"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3:13" x14ac:dyDescent="0.2">
      <c r="C1507" s="25"/>
      <c r="D1507" s="25"/>
      <c r="E1507" s="25"/>
      <c r="F1507" s="25"/>
      <c r="G1507" s="25"/>
      <c r="H1507" s="25"/>
      <c r="I1507" s="25"/>
      <c r="J1507" s="25"/>
      <c r="K1507" s="25"/>
      <c r="L1507" s="25"/>
      <c r="M1507" s="25"/>
    </row>
    <row r="1508" spans="3:13" x14ac:dyDescent="0.2"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3:13" x14ac:dyDescent="0.2">
      <c r="C1509" s="25"/>
      <c r="D1509" s="25"/>
      <c r="E1509" s="25"/>
      <c r="F1509" s="25"/>
      <c r="G1509" s="25"/>
      <c r="H1509" s="25"/>
      <c r="I1509" s="25"/>
      <c r="J1509" s="25"/>
      <c r="K1509" s="25"/>
      <c r="L1509" s="25"/>
      <c r="M1509" s="25"/>
    </row>
    <row r="1510" spans="3:13" x14ac:dyDescent="0.2"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3:13" x14ac:dyDescent="0.2">
      <c r="C1511" s="25"/>
      <c r="D1511" s="25"/>
      <c r="E1511" s="25"/>
      <c r="F1511" s="25"/>
      <c r="G1511" s="25"/>
      <c r="H1511" s="25"/>
      <c r="I1511" s="25"/>
      <c r="J1511" s="25"/>
      <c r="K1511" s="25"/>
      <c r="L1511" s="25"/>
      <c r="M1511" s="25"/>
    </row>
    <row r="1512" spans="3:13" x14ac:dyDescent="0.2"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3:13" x14ac:dyDescent="0.2">
      <c r="C1513" s="25"/>
      <c r="D1513" s="25"/>
      <c r="E1513" s="25"/>
      <c r="F1513" s="25"/>
      <c r="G1513" s="25"/>
      <c r="H1513" s="25"/>
      <c r="I1513" s="25"/>
      <c r="J1513" s="25"/>
      <c r="K1513" s="25"/>
      <c r="L1513" s="25"/>
      <c r="M1513" s="25"/>
    </row>
    <row r="1514" spans="3:13" x14ac:dyDescent="0.2"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3:13" x14ac:dyDescent="0.2">
      <c r="C1515" s="25"/>
      <c r="D1515" s="25"/>
      <c r="E1515" s="25"/>
      <c r="F1515" s="25"/>
      <c r="G1515" s="25"/>
      <c r="H1515" s="25"/>
      <c r="I1515" s="25"/>
      <c r="J1515" s="25"/>
      <c r="K1515" s="25"/>
      <c r="L1515" s="25"/>
      <c r="M1515" s="25"/>
    </row>
    <row r="1516" spans="3:13" x14ac:dyDescent="0.2"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3:13" x14ac:dyDescent="0.2">
      <c r="C1517" s="25"/>
      <c r="D1517" s="25"/>
      <c r="E1517" s="25"/>
      <c r="F1517" s="25"/>
      <c r="G1517" s="25"/>
      <c r="H1517" s="25"/>
      <c r="I1517" s="25"/>
      <c r="J1517" s="25"/>
      <c r="K1517" s="25"/>
      <c r="L1517" s="25"/>
      <c r="M1517" s="25"/>
    </row>
    <row r="1518" spans="3:13" x14ac:dyDescent="0.2"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3:13" x14ac:dyDescent="0.2">
      <c r="C1519" s="25"/>
      <c r="D1519" s="25"/>
      <c r="E1519" s="25"/>
      <c r="F1519" s="25"/>
      <c r="G1519" s="25"/>
      <c r="H1519" s="25"/>
      <c r="I1519" s="25"/>
      <c r="J1519" s="25"/>
      <c r="K1519" s="25"/>
      <c r="L1519" s="25"/>
      <c r="M1519" s="25"/>
    </row>
    <row r="1520" spans="3:13" x14ac:dyDescent="0.2"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3:13" x14ac:dyDescent="0.2">
      <c r="C1521" s="25"/>
      <c r="D1521" s="25"/>
      <c r="E1521" s="25"/>
      <c r="F1521" s="25"/>
      <c r="G1521" s="25"/>
      <c r="H1521" s="25"/>
      <c r="I1521" s="25"/>
      <c r="J1521" s="25"/>
      <c r="K1521" s="25"/>
      <c r="L1521" s="25"/>
      <c r="M1521" s="25"/>
    </row>
    <row r="1522" spans="3:13" x14ac:dyDescent="0.2"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3:13" x14ac:dyDescent="0.2">
      <c r="C1523" s="25"/>
      <c r="D1523" s="25"/>
      <c r="E1523" s="25"/>
      <c r="F1523" s="25"/>
      <c r="G1523" s="25"/>
      <c r="H1523" s="25"/>
      <c r="I1523" s="25"/>
      <c r="J1523" s="25"/>
      <c r="K1523" s="25"/>
      <c r="L1523" s="25"/>
      <c r="M1523" s="25"/>
    </row>
    <row r="1524" spans="3:13" x14ac:dyDescent="0.2"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3:13" x14ac:dyDescent="0.2">
      <c r="C1525" s="25"/>
      <c r="D1525" s="25"/>
      <c r="E1525" s="25"/>
      <c r="F1525" s="25"/>
      <c r="G1525" s="25"/>
      <c r="H1525" s="25"/>
      <c r="I1525" s="25"/>
      <c r="J1525" s="25"/>
      <c r="K1525" s="25"/>
      <c r="L1525" s="25"/>
      <c r="M1525" s="25"/>
    </row>
    <row r="1526" spans="3:13" x14ac:dyDescent="0.2"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3:13" x14ac:dyDescent="0.2">
      <c r="C1527" s="25"/>
      <c r="D1527" s="25"/>
      <c r="E1527" s="25"/>
      <c r="F1527" s="25"/>
      <c r="G1527" s="25"/>
      <c r="H1527" s="25"/>
      <c r="I1527" s="25"/>
      <c r="J1527" s="25"/>
      <c r="K1527" s="25"/>
      <c r="L1527" s="25"/>
      <c r="M1527" s="25"/>
    </row>
    <row r="1528" spans="3:13" x14ac:dyDescent="0.2"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3:13" x14ac:dyDescent="0.2">
      <c r="C1529" s="25"/>
      <c r="D1529" s="25"/>
      <c r="E1529" s="25"/>
      <c r="F1529" s="25"/>
      <c r="G1529" s="25"/>
      <c r="H1529" s="25"/>
      <c r="I1529" s="25"/>
      <c r="J1529" s="25"/>
      <c r="K1529" s="25"/>
      <c r="L1529" s="25"/>
      <c r="M1529" s="25"/>
    </row>
    <row r="1530" spans="3:13" x14ac:dyDescent="0.2"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3:13" x14ac:dyDescent="0.2">
      <c r="C1531" s="25"/>
      <c r="D1531" s="25"/>
      <c r="E1531" s="25"/>
      <c r="F1531" s="25"/>
      <c r="G1531" s="25"/>
      <c r="H1531" s="25"/>
      <c r="I1531" s="25"/>
      <c r="J1531" s="25"/>
      <c r="K1531" s="25"/>
      <c r="L1531" s="25"/>
      <c r="M1531" s="25"/>
    </row>
    <row r="1532" spans="3:13" x14ac:dyDescent="0.2"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3:13" x14ac:dyDescent="0.2">
      <c r="C1533" s="25"/>
      <c r="D1533" s="25"/>
      <c r="E1533" s="25"/>
      <c r="F1533" s="25"/>
      <c r="G1533" s="25"/>
      <c r="H1533" s="25"/>
      <c r="I1533" s="25"/>
      <c r="J1533" s="25"/>
      <c r="K1533" s="25"/>
      <c r="L1533" s="25"/>
      <c r="M1533" s="25"/>
    </row>
    <row r="1534" spans="3:13" x14ac:dyDescent="0.2"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3:13" x14ac:dyDescent="0.2">
      <c r="C1535" s="25"/>
      <c r="D1535" s="25"/>
      <c r="E1535" s="25"/>
      <c r="F1535" s="25"/>
      <c r="G1535" s="25"/>
      <c r="H1535" s="25"/>
      <c r="I1535" s="25"/>
      <c r="J1535" s="25"/>
      <c r="K1535" s="25"/>
      <c r="L1535" s="25"/>
      <c r="M1535" s="25"/>
    </row>
    <row r="1536" spans="3:13" x14ac:dyDescent="0.2"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3:13" x14ac:dyDescent="0.2">
      <c r="C1537" s="25"/>
      <c r="D1537" s="25"/>
      <c r="E1537" s="25"/>
      <c r="F1537" s="25"/>
      <c r="G1537" s="25"/>
      <c r="H1537" s="25"/>
      <c r="I1537" s="25"/>
      <c r="J1537" s="25"/>
      <c r="K1537" s="25"/>
      <c r="L1537" s="25"/>
      <c r="M1537" s="25"/>
    </row>
    <row r="1538" spans="3:13" x14ac:dyDescent="0.2"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3:13" x14ac:dyDescent="0.2">
      <c r="C1539" s="25"/>
      <c r="D1539" s="25"/>
      <c r="E1539" s="25"/>
      <c r="F1539" s="25"/>
      <c r="G1539" s="25"/>
      <c r="H1539" s="25"/>
      <c r="I1539" s="25"/>
      <c r="J1539" s="25"/>
      <c r="K1539" s="25"/>
      <c r="L1539" s="25"/>
      <c r="M1539" s="25"/>
    </row>
    <row r="1540" spans="3:13" x14ac:dyDescent="0.2"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3:13" x14ac:dyDescent="0.2">
      <c r="C1541" s="25"/>
      <c r="D1541" s="25"/>
      <c r="E1541" s="25"/>
      <c r="F1541" s="25"/>
      <c r="G1541" s="25"/>
      <c r="H1541" s="25"/>
      <c r="I1541" s="25"/>
      <c r="J1541" s="25"/>
      <c r="K1541" s="25"/>
      <c r="L1541" s="25"/>
      <c r="M1541" s="25"/>
    </row>
    <row r="1542" spans="3:13" x14ac:dyDescent="0.2"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3:13" x14ac:dyDescent="0.2">
      <c r="C1543" s="25"/>
      <c r="D1543" s="25"/>
      <c r="E1543" s="25"/>
      <c r="F1543" s="25"/>
      <c r="G1543" s="25"/>
      <c r="H1543" s="25"/>
      <c r="I1543" s="25"/>
      <c r="J1543" s="25"/>
      <c r="K1543" s="25"/>
      <c r="L1543" s="25"/>
      <c r="M1543" s="25"/>
    </row>
    <row r="1544" spans="3:13" x14ac:dyDescent="0.2"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3:13" x14ac:dyDescent="0.2">
      <c r="C1545" s="25"/>
      <c r="D1545" s="25"/>
      <c r="E1545" s="25"/>
      <c r="F1545" s="25"/>
      <c r="G1545" s="25"/>
      <c r="H1545" s="25"/>
      <c r="I1545" s="25"/>
      <c r="J1545" s="25"/>
      <c r="K1545" s="25"/>
      <c r="L1545" s="25"/>
      <c r="M1545" s="25"/>
    </row>
    <row r="1546" spans="3:13" x14ac:dyDescent="0.2"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3:13" x14ac:dyDescent="0.2">
      <c r="C1547" s="25"/>
      <c r="D1547" s="25"/>
      <c r="E1547" s="25"/>
      <c r="F1547" s="25"/>
      <c r="G1547" s="25"/>
      <c r="H1547" s="25"/>
      <c r="I1547" s="25"/>
      <c r="J1547" s="25"/>
      <c r="K1547" s="25"/>
      <c r="L1547" s="25"/>
      <c r="M1547" s="25"/>
    </row>
    <row r="1548" spans="3:13" x14ac:dyDescent="0.2"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3:13" x14ac:dyDescent="0.2">
      <c r="C1549" s="25"/>
      <c r="D1549" s="25"/>
      <c r="E1549" s="25"/>
      <c r="F1549" s="25"/>
      <c r="G1549" s="25"/>
      <c r="H1549" s="25"/>
      <c r="I1549" s="25"/>
      <c r="J1549" s="25"/>
      <c r="K1549" s="25"/>
      <c r="L1549" s="25"/>
      <c r="M1549" s="25"/>
    </row>
    <row r="1550" spans="3:13" x14ac:dyDescent="0.2"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3:13" x14ac:dyDescent="0.2">
      <c r="C1551" s="25"/>
      <c r="D1551" s="25"/>
      <c r="E1551" s="25"/>
      <c r="F1551" s="25"/>
      <c r="G1551" s="25"/>
      <c r="H1551" s="25"/>
      <c r="I1551" s="25"/>
      <c r="J1551" s="25"/>
      <c r="K1551" s="25"/>
      <c r="L1551" s="25"/>
      <c r="M1551" s="25"/>
    </row>
    <row r="1552" spans="3:13" x14ac:dyDescent="0.2"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3:13" x14ac:dyDescent="0.2">
      <c r="C1553" s="25"/>
      <c r="D1553" s="25"/>
      <c r="E1553" s="25"/>
      <c r="F1553" s="25"/>
      <c r="G1553" s="25"/>
      <c r="H1553" s="25"/>
      <c r="I1553" s="25"/>
      <c r="J1553" s="25"/>
      <c r="K1553" s="25"/>
      <c r="L1553" s="25"/>
      <c r="M1553" s="25"/>
    </row>
    <row r="1554" spans="3:13" x14ac:dyDescent="0.2"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3:13" x14ac:dyDescent="0.2">
      <c r="C1555" s="25"/>
      <c r="D1555" s="25"/>
      <c r="E1555" s="25"/>
      <c r="F1555" s="25"/>
      <c r="G1555" s="25"/>
      <c r="H1555" s="25"/>
      <c r="I1555" s="25"/>
      <c r="J1555" s="25"/>
      <c r="K1555" s="25"/>
      <c r="L1555" s="25"/>
      <c r="M1555" s="25"/>
    </row>
    <row r="1556" spans="3:13" x14ac:dyDescent="0.2"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3:13" x14ac:dyDescent="0.2">
      <c r="C1557" s="25"/>
      <c r="D1557" s="25"/>
      <c r="E1557" s="25"/>
      <c r="F1557" s="25"/>
      <c r="G1557" s="25"/>
      <c r="H1557" s="25"/>
      <c r="I1557" s="25"/>
      <c r="J1557" s="25"/>
      <c r="K1557" s="25"/>
      <c r="L1557" s="25"/>
      <c r="M1557" s="25"/>
    </row>
    <row r="1558" spans="3:13" x14ac:dyDescent="0.2"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3:13" x14ac:dyDescent="0.2">
      <c r="C1559" s="25"/>
      <c r="D1559" s="25"/>
      <c r="E1559" s="25"/>
      <c r="F1559" s="25"/>
      <c r="G1559" s="25"/>
      <c r="H1559" s="25"/>
      <c r="I1559" s="25"/>
      <c r="J1559" s="25"/>
      <c r="K1559" s="25"/>
      <c r="L1559" s="25"/>
      <c r="M1559" s="25"/>
    </row>
    <row r="1560" spans="3:13" x14ac:dyDescent="0.2"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3:13" x14ac:dyDescent="0.2">
      <c r="C1561" s="25"/>
      <c r="D1561" s="25"/>
      <c r="E1561" s="25"/>
      <c r="F1561" s="25"/>
      <c r="G1561" s="25"/>
      <c r="H1561" s="25"/>
      <c r="I1561" s="25"/>
      <c r="J1561" s="25"/>
      <c r="K1561" s="25"/>
      <c r="L1561" s="25"/>
      <c r="M1561" s="25"/>
    </row>
    <row r="1562" spans="3:13" x14ac:dyDescent="0.2"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3:13" x14ac:dyDescent="0.2">
      <c r="C1563" s="25"/>
      <c r="D1563" s="25"/>
      <c r="E1563" s="25"/>
      <c r="F1563" s="25"/>
      <c r="G1563" s="25"/>
      <c r="H1563" s="25"/>
      <c r="I1563" s="25"/>
      <c r="J1563" s="25"/>
      <c r="K1563" s="25"/>
      <c r="L1563" s="25"/>
      <c r="M1563" s="25"/>
    </row>
    <row r="1564" spans="3:13" x14ac:dyDescent="0.2"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3:13" x14ac:dyDescent="0.2">
      <c r="C1565" s="25"/>
      <c r="D1565" s="25"/>
      <c r="E1565" s="25"/>
      <c r="F1565" s="25"/>
      <c r="G1565" s="25"/>
      <c r="H1565" s="25"/>
      <c r="I1565" s="25"/>
      <c r="J1565" s="25"/>
      <c r="K1565" s="25"/>
      <c r="L1565" s="25"/>
      <c r="M1565" s="25"/>
    </row>
    <row r="1566" spans="3:13" x14ac:dyDescent="0.2"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3:13" x14ac:dyDescent="0.2">
      <c r="C1567" s="25"/>
      <c r="D1567" s="25"/>
      <c r="E1567" s="25"/>
      <c r="F1567" s="25"/>
      <c r="G1567" s="25"/>
      <c r="H1567" s="25"/>
      <c r="I1567" s="25"/>
      <c r="J1567" s="25"/>
      <c r="K1567" s="25"/>
      <c r="L1567" s="25"/>
      <c r="M1567" s="25"/>
    </row>
    <row r="1568" spans="3:13" x14ac:dyDescent="0.2"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3:13" x14ac:dyDescent="0.2">
      <c r="C1569" s="25"/>
      <c r="D1569" s="25"/>
      <c r="E1569" s="25"/>
      <c r="F1569" s="25"/>
      <c r="G1569" s="25"/>
      <c r="H1569" s="25"/>
      <c r="I1569" s="25"/>
      <c r="J1569" s="25"/>
      <c r="K1569" s="25"/>
      <c r="L1569" s="25"/>
      <c r="M1569" s="25"/>
    </row>
    <row r="1570" spans="3:13" x14ac:dyDescent="0.2"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3:13" x14ac:dyDescent="0.2">
      <c r="C1571" s="25"/>
      <c r="D1571" s="25"/>
      <c r="E1571" s="25"/>
      <c r="F1571" s="25"/>
      <c r="G1571" s="25"/>
      <c r="H1571" s="25"/>
      <c r="I1571" s="25"/>
      <c r="J1571" s="25"/>
      <c r="K1571" s="25"/>
      <c r="L1571" s="25"/>
      <c r="M1571" s="25"/>
    </row>
    <row r="1572" spans="3:13" x14ac:dyDescent="0.2"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3:13" x14ac:dyDescent="0.2">
      <c r="C1573" s="25"/>
      <c r="D1573" s="25"/>
      <c r="E1573" s="25"/>
      <c r="F1573" s="25"/>
      <c r="G1573" s="25"/>
      <c r="H1573" s="25"/>
      <c r="I1573" s="25"/>
      <c r="J1573" s="25"/>
      <c r="K1573" s="25"/>
      <c r="L1573" s="25"/>
      <c r="M1573" s="25"/>
    </row>
    <row r="1574" spans="3:13" x14ac:dyDescent="0.2"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3:13" x14ac:dyDescent="0.2">
      <c r="C1575" s="25"/>
      <c r="D1575" s="25"/>
      <c r="E1575" s="25"/>
      <c r="F1575" s="25"/>
      <c r="G1575" s="25"/>
      <c r="H1575" s="25"/>
      <c r="I1575" s="25"/>
      <c r="J1575" s="25"/>
      <c r="K1575" s="25"/>
      <c r="L1575" s="25"/>
      <c r="M1575" s="25"/>
    </row>
    <row r="1576" spans="3:13" x14ac:dyDescent="0.2"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3:13" x14ac:dyDescent="0.2">
      <c r="C1577" s="25"/>
      <c r="D1577" s="25"/>
      <c r="E1577" s="25"/>
      <c r="F1577" s="25"/>
      <c r="G1577" s="25"/>
      <c r="H1577" s="25"/>
      <c r="I1577" s="25"/>
      <c r="J1577" s="25"/>
      <c r="K1577" s="25"/>
      <c r="L1577" s="25"/>
      <c r="M1577" s="25"/>
    </row>
    <row r="1578" spans="3:13" x14ac:dyDescent="0.2"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3:13" x14ac:dyDescent="0.2">
      <c r="C1579" s="25"/>
      <c r="D1579" s="25"/>
      <c r="E1579" s="25"/>
      <c r="F1579" s="25"/>
      <c r="G1579" s="25"/>
      <c r="H1579" s="25"/>
      <c r="I1579" s="25"/>
      <c r="J1579" s="25"/>
      <c r="K1579" s="25"/>
      <c r="L1579" s="25"/>
      <c r="M1579" s="25"/>
    </row>
    <row r="1580" spans="3:13" x14ac:dyDescent="0.2"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3:13" x14ac:dyDescent="0.2">
      <c r="C1581" s="25"/>
      <c r="D1581" s="25"/>
      <c r="E1581" s="25"/>
      <c r="F1581" s="25"/>
      <c r="G1581" s="25"/>
      <c r="H1581" s="25"/>
      <c r="I1581" s="25"/>
      <c r="J1581" s="25"/>
      <c r="K1581" s="25"/>
      <c r="L1581" s="25"/>
      <c r="M1581" s="25"/>
    </row>
    <row r="1582" spans="3:13" x14ac:dyDescent="0.2"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3:13" x14ac:dyDescent="0.2">
      <c r="C1583" s="25"/>
      <c r="D1583" s="25"/>
      <c r="E1583" s="25"/>
      <c r="F1583" s="25"/>
      <c r="G1583" s="25"/>
      <c r="H1583" s="25"/>
      <c r="I1583" s="25"/>
      <c r="J1583" s="25"/>
      <c r="K1583" s="25"/>
      <c r="L1583" s="25"/>
      <c r="M1583" s="25"/>
    </row>
    <row r="1584" spans="3:13" x14ac:dyDescent="0.2"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3:13" x14ac:dyDescent="0.2">
      <c r="C1585" s="25"/>
      <c r="D1585" s="25"/>
      <c r="E1585" s="25"/>
      <c r="F1585" s="25"/>
      <c r="G1585" s="25"/>
      <c r="H1585" s="25"/>
      <c r="I1585" s="25"/>
      <c r="J1585" s="25"/>
      <c r="K1585" s="25"/>
      <c r="L1585" s="25"/>
      <c r="M1585" s="25"/>
    </row>
    <row r="1586" spans="3:13" x14ac:dyDescent="0.2"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3:13" x14ac:dyDescent="0.2">
      <c r="C1587" s="25"/>
      <c r="D1587" s="25"/>
      <c r="E1587" s="25"/>
      <c r="F1587" s="25"/>
      <c r="G1587" s="25"/>
      <c r="H1587" s="25"/>
      <c r="I1587" s="25"/>
      <c r="J1587" s="25"/>
      <c r="K1587" s="25"/>
      <c r="L1587" s="25"/>
      <c r="M1587" s="25"/>
    </row>
    <row r="1588" spans="3:13" x14ac:dyDescent="0.2"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3:13" x14ac:dyDescent="0.2">
      <c r="C1589" s="25"/>
      <c r="D1589" s="25"/>
      <c r="E1589" s="25"/>
      <c r="F1589" s="25"/>
      <c r="G1589" s="25"/>
      <c r="H1589" s="25"/>
      <c r="I1589" s="25"/>
      <c r="J1589" s="25"/>
      <c r="K1589" s="25"/>
      <c r="L1589" s="25"/>
      <c r="M1589" s="25"/>
    </row>
    <row r="1590" spans="3:13" x14ac:dyDescent="0.2"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3:13" x14ac:dyDescent="0.2">
      <c r="C1591" s="25"/>
      <c r="D1591" s="25"/>
      <c r="E1591" s="25"/>
      <c r="F1591" s="25"/>
      <c r="G1591" s="25"/>
      <c r="H1591" s="25"/>
      <c r="I1591" s="25"/>
      <c r="J1591" s="25"/>
      <c r="K1591" s="25"/>
      <c r="L1591" s="25"/>
      <c r="M1591" s="25"/>
    </row>
    <row r="1592" spans="3:13" x14ac:dyDescent="0.2"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3:13" x14ac:dyDescent="0.2">
      <c r="C1593" s="25"/>
      <c r="D1593" s="25"/>
      <c r="E1593" s="25"/>
      <c r="F1593" s="25"/>
      <c r="G1593" s="25"/>
      <c r="H1593" s="25"/>
      <c r="I1593" s="25"/>
      <c r="J1593" s="25"/>
      <c r="K1593" s="25"/>
      <c r="L1593" s="25"/>
      <c r="M1593" s="25"/>
    </row>
    <row r="1594" spans="3:13" x14ac:dyDescent="0.2"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3:13" x14ac:dyDescent="0.2">
      <c r="C1595" s="25"/>
      <c r="D1595" s="25"/>
      <c r="E1595" s="25"/>
      <c r="F1595" s="25"/>
      <c r="G1595" s="25"/>
      <c r="H1595" s="25"/>
      <c r="I1595" s="25"/>
      <c r="J1595" s="25"/>
      <c r="K1595" s="25"/>
      <c r="L1595" s="25"/>
      <c r="M1595" s="25"/>
    </row>
    <row r="1596" spans="3:13" x14ac:dyDescent="0.2"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3:13" x14ac:dyDescent="0.2">
      <c r="C1597" s="25"/>
      <c r="D1597" s="25"/>
      <c r="E1597" s="25"/>
      <c r="F1597" s="25"/>
      <c r="G1597" s="25"/>
      <c r="H1597" s="25"/>
      <c r="I1597" s="25"/>
      <c r="J1597" s="25"/>
      <c r="K1597" s="25"/>
      <c r="L1597" s="25"/>
      <c r="M1597" s="25"/>
    </row>
    <row r="1598" spans="3:13" x14ac:dyDescent="0.2"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3:13" x14ac:dyDescent="0.2">
      <c r="C1599" s="25"/>
      <c r="D1599" s="25"/>
      <c r="E1599" s="25"/>
      <c r="F1599" s="25"/>
      <c r="G1599" s="25"/>
      <c r="H1599" s="25"/>
      <c r="I1599" s="25"/>
      <c r="J1599" s="25"/>
      <c r="K1599" s="25"/>
      <c r="L1599" s="25"/>
      <c r="M1599" s="25"/>
    </row>
    <row r="1600" spans="3:13" x14ac:dyDescent="0.2"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3:13" x14ac:dyDescent="0.2">
      <c r="C1601" s="25"/>
      <c r="D1601" s="25"/>
      <c r="E1601" s="25"/>
      <c r="F1601" s="25"/>
      <c r="G1601" s="25"/>
      <c r="H1601" s="25"/>
      <c r="I1601" s="25"/>
      <c r="J1601" s="25"/>
      <c r="K1601" s="25"/>
      <c r="L1601" s="25"/>
      <c r="M1601" s="25"/>
    </row>
    <row r="1602" spans="3:13" x14ac:dyDescent="0.2"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3:13" x14ac:dyDescent="0.2">
      <c r="C1603" s="25"/>
      <c r="D1603" s="25"/>
      <c r="E1603" s="25"/>
      <c r="F1603" s="25"/>
      <c r="G1603" s="25"/>
      <c r="H1603" s="25"/>
      <c r="I1603" s="25"/>
      <c r="J1603" s="25"/>
      <c r="K1603" s="25"/>
      <c r="L1603" s="25"/>
      <c r="M1603" s="25"/>
    </row>
    <row r="1604" spans="3:13" x14ac:dyDescent="0.2"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3:13" x14ac:dyDescent="0.2">
      <c r="C1605" s="25"/>
      <c r="D1605" s="25"/>
      <c r="E1605" s="25"/>
      <c r="F1605" s="25"/>
      <c r="G1605" s="25"/>
      <c r="H1605" s="25"/>
      <c r="I1605" s="25"/>
      <c r="J1605" s="25"/>
      <c r="K1605" s="25"/>
      <c r="L1605" s="25"/>
      <c r="M1605" s="25"/>
    </row>
    <row r="1606" spans="3:13" x14ac:dyDescent="0.2"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3:13" x14ac:dyDescent="0.2">
      <c r="C1607" s="25"/>
      <c r="D1607" s="25"/>
      <c r="E1607" s="25"/>
      <c r="F1607" s="25"/>
      <c r="G1607" s="25"/>
      <c r="H1607" s="25"/>
      <c r="I1607" s="25"/>
      <c r="J1607" s="25"/>
      <c r="K1607" s="25"/>
      <c r="L1607" s="25"/>
      <c r="M1607" s="25"/>
    </row>
    <row r="1608" spans="3:13" x14ac:dyDescent="0.2"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3:13" x14ac:dyDescent="0.2">
      <c r="C1609" s="25"/>
      <c r="D1609" s="25"/>
      <c r="E1609" s="25"/>
      <c r="F1609" s="25"/>
      <c r="G1609" s="25"/>
      <c r="H1609" s="25"/>
      <c r="I1609" s="25"/>
      <c r="J1609" s="25"/>
      <c r="K1609" s="25"/>
      <c r="L1609" s="25"/>
      <c r="M1609" s="25"/>
    </row>
    <row r="1610" spans="3:13" x14ac:dyDescent="0.2"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3:13" x14ac:dyDescent="0.2">
      <c r="C1611" s="25"/>
      <c r="D1611" s="25"/>
      <c r="E1611" s="25"/>
      <c r="F1611" s="25"/>
      <c r="G1611" s="25"/>
      <c r="H1611" s="25"/>
      <c r="I1611" s="25"/>
      <c r="J1611" s="25"/>
      <c r="K1611" s="25"/>
      <c r="L1611" s="25"/>
      <c r="M1611" s="25"/>
    </row>
    <row r="1612" spans="3:13" x14ac:dyDescent="0.2"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3:13" x14ac:dyDescent="0.2">
      <c r="C1613" s="25"/>
      <c r="D1613" s="25"/>
      <c r="E1613" s="25"/>
      <c r="F1613" s="25"/>
      <c r="G1613" s="25"/>
      <c r="H1613" s="25"/>
      <c r="I1613" s="25"/>
      <c r="J1613" s="25"/>
      <c r="K1613" s="25"/>
      <c r="L1613" s="25"/>
      <c r="M1613" s="25"/>
    </row>
    <row r="1614" spans="3:13" x14ac:dyDescent="0.2"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3:13" x14ac:dyDescent="0.2">
      <c r="C1615" s="25"/>
      <c r="D1615" s="25"/>
      <c r="E1615" s="25"/>
      <c r="F1615" s="25"/>
      <c r="G1615" s="25"/>
      <c r="H1615" s="25"/>
      <c r="I1615" s="25"/>
      <c r="J1615" s="25"/>
      <c r="K1615" s="25"/>
      <c r="L1615" s="25"/>
      <c r="M1615" s="25"/>
    </row>
    <row r="1616" spans="3:13" x14ac:dyDescent="0.2"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3:13" x14ac:dyDescent="0.2">
      <c r="C1617" s="25"/>
      <c r="D1617" s="25"/>
      <c r="E1617" s="25"/>
      <c r="F1617" s="25"/>
      <c r="G1617" s="25"/>
      <c r="H1617" s="25"/>
      <c r="I1617" s="25"/>
      <c r="J1617" s="25"/>
      <c r="K1617" s="25"/>
      <c r="L1617" s="25"/>
      <c r="M1617" s="25"/>
    </row>
    <row r="1618" spans="3:13" x14ac:dyDescent="0.2"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3:13" x14ac:dyDescent="0.2">
      <c r="C1619" s="25"/>
      <c r="D1619" s="25"/>
      <c r="E1619" s="25"/>
      <c r="F1619" s="25"/>
      <c r="G1619" s="25"/>
      <c r="H1619" s="25"/>
      <c r="I1619" s="25"/>
      <c r="J1619" s="25"/>
      <c r="K1619" s="25"/>
      <c r="L1619" s="25"/>
      <c r="M1619" s="25"/>
    </row>
    <row r="1620" spans="3:13" x14ac:dyDescent="0.2"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3:13" x14ac:dyDescent="0.2">
      <c r="C1621" s="25"/>
      <c r="D1621" s="25"/>
      <c r="E1621" s="25"/>
      <c r="F1621" s="25"/>
      <c r="G1621" s="25"/>
      <c r="H1621" s="25"/>
      <c r="I1621" s="25"/>
      <c r="J1621" s="25"/>
      <c r="K1621" s="25"/>
      <c r="L1621" s="25"/>
      <c r="M1621" s="25"/>
    </row>
    <row r="1622" spans="3:13" x14ac:dyDescent="0.2"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3:13" x14ac:dyDescent="0.2">
      <c r="C1623" s="25"/>
      <c r="D1623" s="25"/>
      <c r="E1623" s="25"/>
      <c r="F1623" s="25"/>
      <c r="G1623" s="25"/>
      <c r="H1623" s="25"/>
      <c r="I1623" s="25"/>
      <c r="J1623" s="25"/>
      <c r="K1623" s="25"/>
      <c r="L1623" s="25"/>
      <c r="M1623" s="25"/>
    </row>
    <row r="1624" spans="3:13" x14ac:dyDescent="0.2"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3:13" x14ac:dyDescent="0.2">
      <c r="C1625" s="25"/>
      <c r="D1625" s="25"/>
      <c r="E1625" s="25"/>
      <c r="F1625" s="25"/>
      <c r="G1625" s="25"/>
      <c r="H1625" s="25"/>
      <c r="I1625" s="25"/>
      <c r="J1625" s="25"/>
      <c r="K1625" s="25"/>
      <c r="L1625" s="25"/>
      <c r="M1625" s="25"/>
    </row>
    <row r="1626" spans="3:13" x14ac:dyDescent="0.2"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3:13" x14ac:dyDescent="0.2">
      <c r="C1627" s="25"/>
      <c r="D1627" s="25"/>
      <c r="E1627" s="25"/>
      <c r="F1627" s="25"/>
      <c r="G1627" s="25"/>
      <c r="H1627" s="25"/>
      <c r="I1627" s="25"/>
      <c r="J1627" s="25"/>
      <c r="K1627" s="25"/>
      <c r="L1627" s="25"/>
      <c r="M1627" s="25"/>
    </row>
    <row r="1628" spans="3:13" x14ac:dyDescent="0.2"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3:13" x14ac:dyDescent="0.2">
      <c r="C1629" s="25"/>
      <c r="D1629" s="25"/>
      <c r="E1629" s="25"/>
      <c r="F1629" s="25"/>
      <c r="G1629" s="25"/>
      <c r="H1629" s="25"/>
      <c r="I1629" s="25"/>
      <c r="J1629" s="25"/>
      <c r="K1629" s="25"/>
      <c r="L1629" s="25"/>
      <c r="M1629" s="25"/>
    </row>
    <row r="1630" spans="3:13" x14ac:dyDescent="0.2"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3:13" x14ac:dyDescent="0.2">
      <c r="C1631" s="25"/>
      <c r="D1631" s="25"/>
      <c r="E1631" s="25"/>
      <c r="F1631" s="25"/>
      <c r="G1631" s="25"/>
      <c r="H1631" s="25"/>
      <c r="I1631" s="25"/>
      <c r="J1631" s="25"/>
      <c r="K1631" s="25"/>
      <c r="L1631" s="25"/>
      <c r="M1631" s="25"/>
    </row>
    <row r="1632" spans="3:13" x14ac:dyDescent="0.2"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3:13" x14ac:dyDescent="0.2">
      <c r="C1633" s="25"/>
      <c r="D1633" s="25"/>
      <c r="E1633" s="25"/>
      <c r="F1633" s="25"/>
      <c r="G1633" s="25"/>
      <c r="H1633" s="25"/>
      <c r="I1633" s="25"/>
      <c r="J1633" s="25"/>
      <c r="K1633" s="25"/>
      <c r="L1633" s="25"/>
      <c r="M1633" s="25"/>
    </row>
    <row r="1634" spans="3:13" x14ac:dyDescent="0.2"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3:13" x14ac:dyDescent="0.2">
      <c r="C1635" s="25"/>
      <c r="D1635" s="25"/>
      <c r="E1635" s="25"/>
      <c r="F1635" s="25"/>
      <c r="G1635" s="25"/>
      <c r="H1635" s="25"/>
      <c r="I1635" s="25"/>
      <c r="J1635" s="25"/>
      <c r="K1635" s="25"/>
      <c r="L1635" s="25"/>
      <c r="M1635" s="25"/>
    </row>
    <row r="1636" spans="3:13" x14ac:dyDescent="0.2"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3:13" x14ac:dyDescent="0.2">
      <c r="C1637" s="25"/>
      <c r="D1637" s="25"/>
      <c r="E1637" s="25"/>
      <c r="F1637" s="25"/>
      <c r="G1637" s="25"/>
      <c r="H1637" s="25"/>
      <c r="I1637" s="25"/>
      <c r="J1637" s="25"/>
      <c r="K1637" s="25"/>
      <c r="L1637" s="25"/>
      <c r="M1637" s="25"/>
    </row>
    <row r="1638" spans="3:13" x14ac:dyDescent="0.2"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3:13" x14ac:dyDescent="0.2">
      <c r="C1639" s="25"/>
      <c r="D1639" s="25"/>
      <c r="E1639" s="25"/>
      <c r="F1639" s="25"/>
      <c r="G1639" s="25"/>
      <c r="H1639" s="25"/>
      <c r="I1639" s="25"/>
      <c r="J1639" s="25"/>
      <c r="K1639" s="25"/>
      <c r="L1639" s="25"/>
      <c r="M1639" s="25"/>
    </row>
    <row r="1640" spans="3:13" x14ac:dyDescent="0.2"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3:13" x14ac:dyDescent="0.2">
      <c r="C1641" s="25"/>
      <c r="D1641" s="25"/>
      <c r="E1641" s="25"/>
      <c r="F1641" s="25"/>
      <c r="G1641" s="25"/>
      <c r="H1641" s="25"/>
      <c r="I1641" s="25"/>
      <c r="J1641" s="25"/>
      <c r="K1641" s="25"/>
      <c r="L1641" s="25"/>
      <c r="M1641" s="25"/>
    </row>
    <row r="1642" spans="3:13" x14ac:dyDescent="0.2"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3:13" x14ac:dyDescent="0.2">
      <c r="C1643" s="25"/>
      <c r="D1643" s="25"/>
      <c r="E1643" s="25"/>
      <c r="F1643" s="25"/>
      <c r="G1643" s="25"/>
      <c r="H1643" s="25"/>
      <c r="I1643" s="25"/>
      <c r="J1643" s="25"/>
      <c r="K1643" s="25"/>
      <c r="L1643" s="25"/>
      <c r="M1643" s="25"/>
    </row>
    <row r="1644" spans="3:13" x14ac:dyDescent="0.2"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3:13" x14ac:dyDescent="0.2">
      <c r="C1645" s="25"/>
      <c r="D1645" s="25"/>
      <c r="E1645" s="25"/>
      <c r="F1645" s="25"/>
      <c r="G1645" s="25"/>
      <c r="H1645" s="25"/>
      <c r="I1645" s="25"/>
      <c r="J1645" s="25"/>
      <c r="K1645" s="25"/>
      <c r="L1645" s="25"/>
      <c r="M1645" s="25"/>
    </row>
    <row r="1646" spans="3:13" x14ac:dyDescent="0.2"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3:13" x14ac:dyDescent="0.2">
      <c r="C1647" s="25"/>
      <c r="D1647" s="25"/>
      <c r="E1647" s="25"/>
      <c r="F1647" s="25"/>
      <c r="G1647" s="25"/>
      <c r="H1647" s="25"/>
      <c r="I1647" s="25"/>
      <c r="J1647" s="25"/>
      <c r="K1647" s="25"/>
      <c r="L1647" s="25"/>
      <c r="M1647" s="25"/>
    </row>
    <row r="1648" spans="3:13" x14ac:dyDescent="0.2"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3:13" x14ac:dyDescent="0.2">
      <c r="C1649" s="25"/>
      <c r="D1649" s="25"/>
      <c r="E1649" s="25"/>
      <c r="F1649" s="25"/>
      <c r="G1649" s="25"/>
      <c r="H1649" s="25"/>
      <c r="I1649" s="25"/>
      <c r="J1649" s="25"/>
      <c r="K1649" s="25"/>
      <c r="L1649" s="25"/>
      <c r="M1649" s="25"/>
    </row>
    <row r="1650" spans="3:13" x14ac:dyDescent="0.2"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3:13" x14ac:dyDescent="0.2">
      <c r="C1651" s="25"/>
      <c r="D1651" s="25"/>
      <c r="E1651" s="25"/>
      <c r="F1651" s="25"/>
      <c r="G1651" s="25"/>
      <c r="H1651" s="25"/>
      <c r="I1651" s="25"/>
      <c r="J1651" s="25"/>
      <c r="K1651" s="25"/>
      <c r="L1651" s="25"/>
      <c r="M1651" s="25"/>
    </row>
    <row r="1652" spans="3:13" x14ac:dyDescent="0.2"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3:13" x14ac:dyDescent="0.2">
      <c r="C1653" s="25"/>
      <c r="D1653" s="25"/>
      <c r="E1653" s="25"/>
      <c r="F1653" s="25"/>
      <c r="G1653" s="25"/>
      <c r="H1653" s="25"/>
      <c r="I1653" s="25"/>
      <c r="J1653" s="25"/>
      <c r="K1653" s="25"/>
      <c r="L1653" s="25"/>
      <c r="M1653" s="25"/>
    </row>
    <row r="1654" spans="3:13" x14ac:dyDescent="0.2"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3:13" x14ac:dyDescent="0.2">
      <c r="C1655" s="25"/>
      <c r="D1655" s="25"/>
      <c r="E1655" s="25"/>
      <c r="F1655" s="25"/>
      <c r="G1655" s="25"/>
      <c r="H1655" s="25"/>
      <c r="I1655" s="25"/>
      <c r="J1655" s="25"/>
      <c r="K1655" s="25"/>
      <c r="L1655" s="25"/>
      <c r="M1655" s="25"/>
    </row>
    <row r="1656" spans="3:13" x14ac:dyDescent="0.2"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3:13" x14ac:dyDescent="0.2">
      <c r="C1657" s="25"/>
      <c r="D1657" s="25"/>
      <c r="E1657" s="25"/>
      <c r="F1657" s="25"/>
      <c r="G1657" s="25"/>
      <c r="H1657" s="25"/>
      <c r="I1657" s="25"/>
      <c r="J1657" s="25"/>
      <c r="K1657" s="25"/>
      <c r="L1657" s="25"/>
      <c r="M1657" s="25"/>
    </row>
    <row r="1658" spans="3:13" x14ac:dyDescent="0.2"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3:13" x14ac:dyDescent="0.2">
      <c r="C1659" s="25"/>
      <c r="D1659" s="25"/>
      <c r="E1659" s="25"/>
      <c r="F1659" s="25"/>
      <c r="G1659" s="25"/>
      <c r="H1659" s="25"/>
      <c r="I1659" s="25"/>
      <c r="J1659" s="25"/>
      <c r="K1659" s="25"/>
      <c r="L1659" s="25"/>
      <c r="M1659" s="25"/>
    </row>
    <row r="1660" spans="3:13" x14ac:dyDescent="0.2"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3:13" x14ac:dyDescent="0.2">
      <c r="C1661" s="25"/>
      <c r="D1661" s="25"/>
      <c r="E1661" s="25"/>
      <c r="F1661" s="25"/>
      <c r="G1661" s="25"/>
      <c r="H1661" s="25"/>
      <c r="I1661" s="25"/>
      <c r="J1661" s="25"/>
      <c r="K1661" s="25"/>
      <c r="L1661" s="25"/>
      <c r="M1661" s="25"/>
    </row>
    <row r="1662" spans="3:13" x14ac:dyDescent="0.2"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3:13" x14ac:dyDescent="0.2">
      <c r="C1663" s="25"/>
      <c r="D1663" s="25"/>
      <c r="E1663" s="25"/>
      <c r="F1663" s="25"/>
      <c r="G1663" s="25"/>
      <c r="H1663" s="25"/>
      <c r="I1663" s="25"/>
      <c r="J1663" s="25"/>
      <c r="K1663" s="25"/>
      <c r="L1663" s="25"/>
      <c r="M1663" s="25"/>
    </row>
    <row r="1664" spans="3:13" x14ac:dyDescent="0.2"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3:13" x14ac:dyDescent="0.2">
      <c r="C1665" s="25"/>
      <c r="D1665" s="25"/>
      <c r="E1665" s="25"/>
      <c r="F1665" s="25"/>
      <c r="G1665" s="25"/>
      <c r="H1665" s="25"/>
      <c r="I1665" s="25"/>
      <c r="J1665" s="25"/>
      <c r="K1665" s="25"/>
      <c r="L1665" s="25"/>
      <c r="M1665" s="25"/>
    </row>
    <row r="1666" spans="3:13" x14ac:dyDescent="0.2"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3:13" x14ac:dyDescent="0.2">
      <c r="C1667" s="25"/>
      <c r="D1667" s="25"/>
      <c r="E1667" s="25"/>
      <c r="F1667" s="25"/>
      <c r="G1667" s="25"/>
      <c r="H1667" s="25"/>
      <c r="I1667" s="25"/>
      <c r="J1667" s="25"/>
      <c r="K1667" s="25"/>
      <c r="L1667" s="25"/>
      <c r="M1667" s="25"/>
    </row>
    <row r="1668" spans="3:13" x14ac:dyDescent="0.2"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3:13" x14ac:dyDescent="0.2">
      <c r="C1669" s="25"/>
      <c r="D1669" s="25"/>
      <c r="E1669" s="25"/>
      <c r="F1669" s="25"/>
      <c r="G1669" s="25"/>
      <c r="H1669" s="25"/>
      <c r="I1669" s="25"/>
      <c r="J1669" s="25"/>
      <c r="K1669" s="25"/>
      <c r="L1669" s="25"/>
      <c r="M1669" s="25"/>
    </row>
    <row r="1670" spans="3:13" x14ac:dyDescent="0.2"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3:13" x14ac:dyDescent="0.2">
      <c r="C1671" s="25"/>
      <c r="D1671" s="25"/>
      <c r="E1671" s="25"/>
      <c r="F1671" s="25"/>
      <c r="G1671" s="25"/>
      <c r="H1671" s="25"/>
      <c r="I1671" s="25"/>
      <c r="J1671" s="25"/>
      <c r="K1671" s="25"/>
      <c r="L1671" s="25"/>
      <c r="M1671" s="25"/>
    </row>
    <row r="1672" spans="3:13" x14ac:dyDescent="0.2"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3:13" x14ac:dyDescent="0.2">
      <c r="C1673" s="25"/>
      <c r="D1673" s="25"/>
      <c r="E1673" s="25"/>
      <c r="F1673" s="25"/>
      <c r="G1673" s="25"/>
      <c r="H1673" s="25"/>
      <c r="I1673" s="25"/>
      <c r="J1673" s="25"/>
      <c r="K1673" s="25"/>
      <c r="L1673" s="25"/>
      <c r="M1673" s="25"/>
    </row>
    <row r="1674" spans="3:13" x14ac:dyDescent="0.2"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3:13" x14ac:dyDescent="0.2">
      <c r="C1675" s="25"/>
      <c r="D1675" s="25"/>
      <c r="E1675" s="25"/>
      <c r="F1675" s="25"/>
      <c r="G1675" s="25"/>
      <c r="H1675" s="25"/>
      <c r="I1675" s="25"/>
      <c r="J1675" s="25"/>
      <c r="K1675" s="25"/>
      <c r="L1675" s="25"/>
      <c r="M1675" s="25"/>
    </row>
    <row r="1676" spans="3:13" x14ac:dyDescent="0.2"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3:13" x14ac:dyDescent="0.2">
      <c r="C1677" s="25"/>
      <c r="D1677" s="25"/>
      <c r="E1677" s="25"/>
      <c r="F1677" s="25"/>
      <c r="G1677" s="25"/>
      <c r="H1677" s="25"/>
      <c r="I1677" s="25"/>
      <c r="J1677" s="25"/>
      <c r="K1677" s="25"/>
      <c r="L1677" s="25"/>
      <c r="M1677" s="25"/>
    </row>
    <row r="1678" spans="3:13" x14ac:dyDescent="0.2"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3:13" x14ac:dyDescent="0.2">
      <c r="C1679" s="25"/>
      <c r="D1679" s="25"/>
      <c r="E1679" s="25"/>
      <c r="F1679" s="25"/>
      <c r="G1679" s="25"/>
      <c r="H1679" s="25"/>
      <c r="I1679" s="25"/>
      <c r="J1679" s="25"/>
      <c r="K1679" s="25"/>
      <c r="L1679" s="25"/>
      <c r="M1679" s="25"/>
    </row>
    <row r="1680" spans="3:13" x14ac:dyDescent="0.2"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3:13" x14ac:dyDescent="0.2">
      <c r="C1681" s="25"/>
      <c r="D1681" s="25"/>
      <c r="E1681" s="25"/>
      <c r="F1681" s="25"/>
      <c r="G1681" s="25"/>
      <c r="H1681" s="25"/>
      <c r="I1681" s="25"/>
      <c r="J1681" s="25"/>
      <c r="K1681" s="25"/>
      <c r="L1681" s="25"/>
      <c r="M1681" s="25"/>
    </row>
    <row r="1682" spans="3:13" x14ac:dyDescent="0.2"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3:13" x14ac:dyDescent="0.2">
      <c r="C1683" s="25"/>
      <c r="D1683" s="25"/>
      <c r="E1683" s="25"/>
      <c r="F1683" s="25"/>
      <c r="G1683" s="25"/>
      <c r="H1683" s="25"/>
      <c r="I1683" s="25"/>
      <c r="J1683" s="25"/>
      <c r="K1683" s="25"/>
      <c r="L1683" s="25"/>
      <c r="M1683" s="25"/>
    </row>
    <row r="1684" spans="3:13" x14ac:dyDescent="0.2"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3:13" x14ac:dyDescent="0.2">
      <c r="C1685" s="25"/>
      <c r="D1685" s="25"/>
      <c r="E1685" s="25"/>
      <c r="F1685" s="25"/>
      <c r="G1685" s="25"/>
      <c r="H1685" s="25"/>
      <c r="I1685" s="25"/>
      <c r="J1685" s="25"/>
      <c r="K1685" s="25"/>
      <c r="L1685" s="25"/>
      <c r="M1685" s="25"/>
    </row>
    <row r="1686" spans="3:13" x14ac:dyDescent="0.2"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3:13" x14ac:dyDescent="0.2">
      <c r="C1687" s="25"/>
      <c r="D1687" s="25"/>
      <c r="E1687" s="25"/>
      <c r="F1687" s="25"/>
      <c r="G1687" s="25"/>
      <c r="H1687" s="25"/>
      <c r="I1687" s="25"/>
      <c r="J1687" s="25"/>
      <c r="K1687" s="25"/>
      <c r="L1687" s="25"/>
      <c r="M1687" s="25"/>
    </row>
    <row r="1688" spans="3:13" x14ac:dyDescent="0.2"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3:13" x14ac:dyDescent="0.2">
      <c r="C1689" s="25"/>
      <c r="D1689" s="25"/>
      <c r="E1689" s="25"/>
      <c r="F1689" s="25"/>
      <c r="G1689" s="25"/>
      <c r="H1689" s="25"/>
      <c r="I1689" s="25"/>
      <c r="J1689" s="25"/>
      <c r="K1689" s="25"/>
      <c r="L1689" s="25"/>
      <c r="M1689" s="25"/>
    </row>
    <row r="1690" spans="3:13" x14ac:dyDescent="0.2"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3:13" x14ac:dyDescent="0.2">
      <c r="C1691" s="25"/>
      <c r="D1691" s="25"/>
      <c r="E1691" s="25"/>
      <c r="F1691" s="25"/>
      <c r="G1691" s="25"/>
      <c r="H1691" s="25"/>
      <c r="I1691" s="25"/>
      <c r="J1691" s="25"/>
      <c r="K1691" s="25"/>
      <c r="L1691" s="25"/>
      <c r="M1691" s="25"/>
    </row>
    <row r="1692" spans="3:13" x14ac:dyDescent="0.2"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3:13" x14ac:dyDescent="0.2">
      <c r="C1693" s="25"/>
      <c r="D1693" s="25"/>
      <c r="E1693" s="25"/>
      <c r="F1693" s="25"/>
      <c r="G1693" s="25"/>
      <c r="H1693" s="25"/>
      <c r="I1693" s="25"/>
      <c r="J1693" s="25"/>
      <c r="K1693" s="25"/>
      <c r="L1693" s="25"/>
      <c r="M1693" s="25"/>
    </row>
    <row r="1694" spans="3:13" x14ac:dyDescent="0.2"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3:13" x14ac:dyDescent="0.2">
      <c r="C1695" s="25"/>
      <c r="D1695" s="25"/>
      <c r="E1695" s="25"/>
      <c r="F1695" s="25"/>
      <c r="G1695" s="25"/>
      <c r="H1695" s="25"/>
      <c r="I1695" s="25"/>
      <c r="J1695" s="25"/>
      <c r="K1695" s="25"/>
      <c r="L1695" s="25"/>
      <c r="M1695" s="25"/>
    </row>
    <row r="1696" spans="3:13" x14ac:dyDescent="0.2"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3:13" x14ac:dyDescent="0.2">
      <c r="C1697" s="25"/>
      <c r="D1697" s="25"/>
      <c r="E1697" s="25"/>
      <c r="F1697" s="25"/>
      <c r="G1697" s="25"/>
      <c r="H1697" s="25"/>
      <c r="I1697" s="25"/>
      <c r="J1697" s="25"/>
      <c r="K1697" s="25"/>
      <c r="L1697" s="25"/>
      <c r="M1697" s="25"/>
    </row>
    <row r="1698" spans="3:13" x14ac:dyDescent="0.2"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3:13" x14ac:dyDescent="0.2">
      <c r="C1699" s="25"/>
      <c r="D1699" s="25"/>
      <c r="E1699" s="25"/>
      <c r="F1699" s="25"/>
      <c r="G1699" s="25"/>
      <c r="H1699" s="25"/>
      <c r="I1699" s="25"/>
      <c r="J1699" s="25"/>
      <c r="K1699" s="25"/>
      <c r="L1699" s="25"/>
      <c r="M1699" s="25"/>
    </row>
    <row r="1700" spans="3:13" x14ac:dyDescent="0.2"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3:13" x14ac:dyDescent="0.2">
      <c r="C1701" s="25"/>
      <c r="D1701" s="25"/>
      <c r="E1701" s="25"/>
      <c r="F1701" s="25"/>
      <c r="G1701" s="25"/>
      <c r="H1701" s="25"/>
      <c r="I1701" s="25"/>
      <c r="J1701" s="25"/>
      <c r="K1701" s="25"/>
      <c r="L1701" s="25"/>
      <c r="M1701" s="25"/>
    </row>
    <row r="1702" spans="3:13" x14ac:dyDescent="0.2"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3:13" x14ac:dyDescent="0.2">
      <c r="C1703" s="25"/>
      <c r="D1703" s="25"/>
      <c r="E1703" s="25"/>
      <c r="F1703" s="25"/>
      <c r="G1703" s="25"/>
      <c r="H1703" s="25"/>
      <c r="I1703" s="25"/>
      <c r="J1703" s="25"/>
      <c r="K1703" s="25"/>
      <c r="L1703" s="25"/>
      <c r="M1703" s="25"/>
    </row>
    <row r="1704" spans="3:13" x14ac:dyDescent="0.2"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3:13" x14ac:dyDescent="0.2">
      <c r="C1705" s="25"/>
      <c r="D1705" s="25"/>
      <c r="E1705" s="25"/>
      <c r="F1705" s="25"/>
      <c r="G1705" s="25"/>
      <c r="H1705" s="25"/>
      <c r="I1705" s="25"/>
      <c r="J1705" s="25"/>
      <c r="K1705" s="25"/>
      <c r="L1705" s="25"/>
      <c r="M1705" s="25"/>
    </row>
    <row r="1706" spans="3:13" x14ac:dyDescent="0.2"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3:13" x14ac:dyDescent="0.2">
      <c r="C1707" s="25"/>
      <c r="D1707" s="25"/>
      <c r="E1707" s="25"/>
      <c r="F1707" s="25"/>
      <c r="G1707" s="25"/>
      <c r="H1707" s="25"/>
      <c r="I1707" s="25"/>
      <c r="J1707" s="25"/>
      <c r="K1707" s="25"/>
      <c r="L1707" s="25"/>
      <c r="M1707" s="25"/>
    </row>
    <row r="1708" spans="3:13" x14ac:dyDescent="0.2"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3:13" x14ac:dyDescent="0.2">
      <c r="C1709" s="25"/>
      <c r="D1709" s="25"/>
      <c r="E1709" s="25"/>
      <c r="F1709" s="25"/>
      <c r="G1709" s="25"/>
      <c r="H1709" s="25"/>
      <c r="I1709" s="25"/>
      <c r="J1709" s="25"/>
      <c r="K1709" s="25"/>
      <c r="L1709" s="25"/>
      <c r="M1709" s="25"/>
    </row>
    <row r="1710" spans="3:13" x14ac:dyDescent="0.2"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3:13" x14ac:dyDescent="0.2">
      <c r="C1711" s="25"/>
      <c r="D1711" s="25"/>
      <c r="E1711" s="25"/>
      <c r="F1711" s="25"/>
      <c r="G1711" s="25"/>
      <c r="H1711" s="25"/>
      <c r="I1711" s="25"/>
      <c r="J1711" s="25"/>
      <c r="K1711" s="25"/>
      <c r="L1711" s="25"/>
      <c r="M1711" s="25"/>
    </row>
    <row r="1712" spans="3:13" x14ac:dyDescent="0.2"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3:13" x14ac:dyDescent="0.2">
      <c r="C1713" s="25"/>
      <c r="D1713" s="25"/>
      <c r="E1713" s="25"/>
      <c r="F1713" s="25"/>
      <c r="G1713" s="25"/>
      <c r="H1713" s="25"/>
      <c r="I1713" s="25"/>
      <c r="J1713" s="25"/>
      <c r="K1713" s="25"/>
      <c r="L1713" s="25"/>
      <c r="M1713" s="25"/>
    </row>
    <row r="1714" spans="3:13" x14ac:dyDescent="0.2"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3:13" x14ac:dyDescent="0.2">
      <c r="C1715" s="25"/>
      <c r="D1715" s="25"/>
      <c r="E1715" s="25"/>
      <c r="F1715" s="25"/>
      <c r="G1715" s="25"/>
      <c r="H1715" s="25"/>
      <c r="I1715" s="25"/>
      <c r="J1715" s="25"/>
      <c r="K1715" s="25"/>
      <c r="L1715" s="25"/>
      <c r="M1715" s="25"/>
    </row>
    <row r="1716" spans="3:13" x14ac:dyDescent="0.2"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3:13" x14ac:dyDescent="0.2">
      <c r="C1717" s="25"/>
      <c r="D1717" s="25"/>
      <c r="E1717" s="25"/>
      <c r="F1717" s="25"/>
      <c r="G1717" s="25"/>
      <c r="H1717" s="25"/>
      <c r="I1717" s="25"/>
      <c r="J1717" s="25"/>
      <c r="K1717" s="25"/>
      <c r="L1717" s="25"/>
      <c r="M1717" s="25"/>
    </row>
    <row r="1718" spans="3:13" x14ac:dyDescent="0.2"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3:13" x14ac:dyDescent="0.2">
      <c r="C1719" s="25"/>
      <c r="D1719" s="25"/>
      <c r="E1719" s="25"/>
      <c r="F1719" s="25"/>
      <c r="G1719" s="25"/>
      <c r="H1719" s="25"/>
      <c r="I1719" s="25"/>
      <c r="J1719" s="25"/>
      <c r="K1719" s="25"/>
      <c r="L1719" s="25"/>
      <c r="M1719" s="25"/>
    </row>
    <row r="1720" spans="3:13" x14ac:dyDescent="0.2"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3:13" x14ac:dyDescent="0.2">
      <c r="C1721" s="25"/>
      <c r="D1721" s="25"/>
      <c r="E1721" s="25"/>
      <c r="F1721" s="25"/>
      <c r="G1721" s="25"/>
      <c r="H1721" s="25"/>
      <c r="I1721" s="25"/>
      <c r="J1721" s="25"/>
      <c r="K1721" s="25"/>
      <c r="L1721" s="25"/>
      <c r="M1721" s="25"/>
    </row>
    <row r="1722" spans="3:13" x14ac:dyDescent="0.2"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3:13" x14ac:dyDescent="0.2">
      <c r="C1723" s="25"/>
      <c r="D1723" s="25"/>
      <c r="E1723" s="25"/>
      <c r="F1723" s="25"/>
      <c r="G1723" s="25"/>
      <c r="H1723" s="25"/>
      <c r="I1723" s="25"/>
      <c r="J1723" s="25"/>
      <c r="K1723" s="25"/>
      <c r="L1723" s="25"/>
      <c r="M1723" s="25"/>
    </row>
    <row r="1724" spans="3:13" x14ac:dyDescent="0.2"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3:13" x14ac:dyDescent="0.2">
      <c r="C1725" s="25"/>
      <c r="D1725" s="25"/>
      <c r="E1725" s="25"/>
      <c r="F1725" s="25"/>
      <c r="G1725" s="25"/>
      <c r="H1725" s="25"/>
      <c r="I1725" s="25"/>
      <c r="J1725" s="25"/>
      <c r="K1725" s="25"/>
      <c r="L1725" s="25"/>
      <c r="M1725" s="25"/>
    </row>
    <row r="1726" spans="3:13" x14ac:dyDescent="0.2"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3:13" x14ac:dyDescent="0.2">
      <c r="C1727" s="25"/>
      <c r="D1727" s="25"/>
      <c r="E1727" s="25"/>
      <c r="F1727" s="25"/>
      <c r="G1727" s="25"/>
      <c r="H1727" s="25"/>
      <c r="I1727" s="25"/>
      <c r="J1727" s="25"/>
      <c r="K1727" s="25"/>
      <c r="L1727" s="25"/>
      <c r="M1727" s="25"/>
    </row>
    <row r="1728" spans="3:13" x14ac:dyDescent="0.2"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3:13" x14ac:dyDescent="0.2">
      <c r="C1729" s="25"/>
      <c r="D1729" s="25"/>
      <c r="E1729" s="25"/>
      <c r="F1729" s="25"/>
      <c r="G1729" s="25"/>
      <c r="H1729" s="25"/>
      <c r="I1729" s="25"/>
      <c r="J1729" s="25"/>
      <c r="K1729" s="25"/>
      <c r="L1729" s="25"/>
      <c r="M1729" s="25"/>
    </row>
    <row r="1730" spans="3:13" x14ac:dyDescent="0.2"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3:13" x14ac:dyDescent="0.2">
      <c r="C1731" s="25"/>
      <c r="D1731" s="25"/>
      <c r="E1731" s="25"/>
      <c r="F1731" s="25"/>
      <c r="G1731" s="25"/>
      <c r="H1731" s="25"/>
      <c r="I1731" s="25"/>
      <c r="J1731" s="25"/>
      <c r="K1731" s="25"/>
      <c r="L1731" s="25"/>
      <c r="M1731" s="25"/>
    </row>
    <row r="1732" spans="3:13" x14ac:dyDescent="0.2"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3:13" x14ac:dyDescent="0.2">
      <c r="C1733" s="25"/>
      <c r="D1733" s="25"/>
      <c r="E1733" s="25"/>
      <c r="F1733" s="25"/>
      <c r="G1733" s="25"/>
      <c r="H1733" s="25"/>
      <c r="I1733" s="25"/>
      <c r="J1733" s="25"/>
      <c r="K1733" s="25"/>
      <c r="L1733" s="25"/>
      <c r="M1733" s="25"/>
    </row>
    <row r="1734" spans="3:13" x14ac:dyDescent="0.2"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3:13" x14ac:dyDescent="0.2">
      <c r="C1735" s="25"/>
      <c r="D1735" s="25"/>
      <c r="E1735" s="25"/>
      <c r="F1735" s="25"/>
      <c r="G1735" s="25"/>
      <c r="H1735" s="25"/>
      <c r="I1735" s="25"/>
      <c r="J1735" s="25"/>
      <c r="K1735" s="25"/>
      <c r="L1735" s="25"/>
      <c r="M1735" s="25"/>
    </row>
    <row r="1736" spans="3:13" x14ac:dyDescent="0.2"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3:13" x14ac:dyDescent="0.2">
      <c r="C1737" s="25"/>
      <c r="D1737" s="25"/>
      <c r="E1737" s="25"/>
      <c r="F1737" s="25"/>
      <c r="G1737" s="25"/>
      <c r="H1737" s="25"/>
      <c r="I1737" s="25"/>
      <c r="J1737" s="25"/>
      <c r="K1737" s="25"/>
      <c r="L1737" s="25"/>
      <c r="M1737" s="25"/>
    </row>
    <row r="1738" spans="3:13" x14ac:dyDescent="0.2"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3:13" x14ac:dyDescent="0.2">
      <c r="C1739" s="25"/>
      <c r="D1739" s="25"/>
      <c r="E1739" s="25"/>
      <c r="F1739" s="25"/>
      <c r="G1739" s="25"/>
      <c r="H1739" s="25"/>
      <c r="I1739" s="25"/>
      <c r="J1739" s="25"/>
      <c r="K1739" s="25"/>
      <c r="L1739" s="25"/>
      <c r="M1739" s="25"/>
    </row>
    <row r="1740" spans="3:13" x14ac:dyDescent="0.2"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3:13" x14ac:dyDescent="0.2">
      <c r="C1741" s="25"/>
      <c r="D1741" s="25"/>
      <c r="E1741" s="25"/>
      <c r="F1741" s="25"/>
      <c r="G1741" s="25"/>
      <c r="H1741" s="25"/>
      <c r="I1741" s="25"/>
      <c r="J1741" s="25"/>
      <c r="K1741" s="25"/>
      <c r="L1741" s="25"/>
      <c r="M1741" s="25"/>
    </row>
    <row r="1742" spans="3:13" x14ac:dyDescent="0.2"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3:13" x14ac:dyDescent="0.2">
      <c r="C1743" s="25"/>
      <c r="D1743" s="25"/>
      <c r="E1743" s="25"/>
      <c r="F1743" s="25"/>
      <c r="G1743" s="25"/>
      <c r="H1743" s="25"/>
      <c r="I1743" s="25"/>
      <c r="J1743" s="25"/>
      <c r="K1743" s="25"/>
      <c r="L1743" s="25"/>
      <c r="M1743" s="25"/>
    </row>
    <row r="1744" spans="3:13" x14ac:dyDescent="0.2"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3:13" x14ac:dyDescent="0.2">
      <c r="C1745" s="25"/>
      <c r="D1745" s="25"/>
      <c r="E1745" s="25"/>
      <c r="F1745" s="25"/>
      <c r="G1745" s="25"/>
      <c r="H1745" s="25"/>
      <c r="I1745" s="25"/>
      <c r="J1745" s="25"/>
      <c r="K1745" s="25"/>
      <c r="L1745" s="25"/>
      <c r="M1745" s="25"/>
    </row>
    <row r="1746" spans="3:13" x14ac:dyDescent="0.2"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3:13" x14ac:dyDescent="0.2">
      <c r="C1747" s="25"/>
      <c r="D1747" s="25"/>
      <c r="E1747" s="25"/>
      <c r="F1747" s="25"/>
      <c r="G1747" s="25"/>
      <c r="H1747" s="25"/>
      <c r="I1747" s="25"/>
      <c r="J1747" s="25"/>
      <c r="K1747" s="25"/>
      <c r="L1747" s="25"/>
      <c r="M1747" s="25"/>
    </row>
    <row r="1748" spans="3:13" x14ac:dyDescent="0.2"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3:13" x14ac:dyDescent="0.2">
      <c r="C1749" s="25"/>
      <c r="D1749" s="25"/>
      <c r="E1749" s="25"/>
      <c r="F1749" s="25"/>
      <c r="G1749" s="25"/>
      <c r="H1749" s="25"/>
      <c r="I1749" s="25"/>
      <c r="J1749" s="25"/>
      <c r="K1749" s="25"/>
      <c r="L1749" s="25"/>
      <c r="M1749" s="25"/>
    </row>
    <row r="1750" spans="3:13" x14ac:dyDescent="0.2"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3:13" x14ac:dyDescent="0.2">
      <c r="C1751" s="25"/>
      <c r="D1751" s="25"/>
      <c r="E1751" s="25"/>
      <c r="F1751" s="25"/>
      <c r="G1751" s="25"/>
      <c r="H1751" s="25"/>
      <c r="I1751" s="25"/>
      <c r="J1751" s="25"/>
      <c r="K1751" s="25"/>
      <c r="L1751" s="25"/>
      <c r="M1751" s="25"/>
    </row>
    <row r="1752" spans="3:13" x14ac:dyDescent="0.2"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3:13" x14ac:dyDescent="0.2">
      <c r="C1753" s="25"/>
      <c r="D1753" s="25"/>
      <c r="E1753" s="25"/>
      <c r="F1753" s="25"/>
      <c r="G1753" s="25"/>
      <c r="H1753" s="25"/>
      <c r="I1753" s="25"/>
      <c r="J1753" s="25"/>
      <c r="K1753" s="25"/>
      <c r="L1753" s="25"/>
      <c r="M1753" s="25"/>
    </row>
    <row r="1754" spans="3:13" x14ac:dyDescent="0.2"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3:13" x14ac:dyDescent="0.2">
      <c r="C1755" s="25"/>
      <c r="D1755" s="25"/>
      <c r="E1755" s="25"/>
      <c r="F1755" s="25"/>
      <c r="G1755" s="25"/>
      <c r="H1755" s="25"/>
      <c r="I1755" s="25"/>
      <c r="J1755" s="25"/>
      <c r="K1755" s="25"/>
      <c r="L1755" s="25"/>
      <c r="M1755" s="25"/>
    </row>
    <row r="1756" spans="3:13" x14ac:dyDescent="0.2"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3:13" x14ac:dyDescent="0.2">
      <c r="C1757" s="25"/>
      <c r="D1757" s="25"/>
      <c r="E1757" s="25"/>
      <c r="F1757" s="25"/>
      <c r="G1757" s="25"/>
      <c r="H1757" s="25"/>
      <c r="I1757" s="25"/>
      <c r="J1757" s="25"/>
      <c r="K1757" s="25"/>
      <c r="L1757" s="25"/>
      <c r="M1757" s="25"/>
    </row>
    <row r="1758" spans="3:13" x14ac:dyDescent="0.2"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3:13" x14ac:dyDescent="0.2">
      <c r="C1759" s="25"/>
      <c r="D1759" s="25"/>
      <c r="E1759" s="25"/>
      <c r="F1759" s="25"/>
      <c r="G1759" s="25"/>
      <c r="H1759" s="25"/>
      <c r="I1759" s="25"/>
      <c r="J1759" s="25"/>
      <c r="K1759" s="25"/>
      <c r="L1759" s="25"/>
      <c r="M1759" s="25"/>
    </row>
    <row r="1760" spans="3:13" x14ac:dyDescent="0.2"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3:13" x14ac:dyDescent="0.2">
      <c r="C1761" s="25"/>
      <c r="D1761" s="25"/>
      <c r="E1761" s="25"/>
      <c r="F1761" s="25"/>
      <c r="G1761" s="25"/>
      <c r="H1761" s="25"/>
      <c r="I1761" s="25"/>
      <c r="J1761" s="25"/>
      <c r="K1761" s="25"/>
      <c r="L1761" s="25"/>
      <c r="M1761" s="25"/>
    </row>
    <row r="1762" spans="3:13" x14ac:dyDescent="0.2"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3:13" x14ac:dyDescent="0.2">
      <c r="C1763" s="25"/>
      <c r="D1763" s="25"/>
      <c r="E1763" s="25"/>
      <c r="F1763" s="25"/>
      <c r="G1763" s="25"/>
      <c r="H1763" s="25"/>
      <c r="I1763" s="25"/>
      <c r="J1763" s="25"/>
      <c r="K1763" s="25"/>
      <c r="L1763" s="25"/>
      <c r="M1763" s="25"/>
    </row>
    <row r="1764" spans="3:13" x14ac:dyDescent="0.2"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3:13" x14ac:dyDescent="0.2">
      <c r="C1765" s="25"/>
      <c r="D1765" s="25"/>
      <c r="E1765" s="25"/>
      <c r="F1765" s="25"/>
      <c r="G1765" s="25"/>
      <c r="H1765" s="25"/>
      <c r="I1765" s="25"/>
      <c r="J1765" s="25"/>
      <c r="K1765" s="25"/>
      <c r="L1765" s="25"/>
      <c r="M1765" s="25"/>
    </row>
    <row r="1766" spans="3:13" x14ac:dyDescent="0.2"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3:13" x14ac:dyDescent="0.2">
      <c r="C1767" s="25"/>
      <c r="D1767" s="25"/>
      <c r="E1767" s="25"/>
      <c r="F1767" s="25"/>
      <c r="G1767" s="25"/>
      <c r="H1767" s="25"/>
      <c r="I1767" s="25"/>
      <c r="J1767" s="25"/>
      <c r="K1767" s="25"/>
      <c r="L1767" s="25"/>
      <c r="M1767" s="25"/>
    </row>
    <row r="1768" spans="3:13" x14ac:dyDescent="0.2"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3:13" x14ac:dyDescent="0.2">
      <c r="C1769" s="25"/>
      <c r="D1769" s="25"/>
      <c r="E1769" s="25"/>
      <c r="F1769" s="25"/>
      <c r="G1769" s="25"/>
      <c r="H1769" s="25"/>
      <c r="I1769" s="25"/>
      <c r="J1769" s="25"/>
      <c r="K1769" s="25"/>
      <c r="L1769" s="25"/>
      <c r="M1769" s="25"/>
    </row>
    <row r="1770" spans="3:13" x14ac:dyDescent="0.2"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3:13" x14ac:dyDescent="0.2">
      <c r="C1771" s="25"/>
      <c r="D1771" s="25"/>
      <c r="E1771" s="25"/>
      <c r="F1771" s="25"/>
      <c r="G1771" s="25"/>
      <c r="H1771" s="25"/>
      <c r="I1771" s="25"/>
      <c r="J1771" s="25"/>
      <c r="K1771" s="25"/>
      <c r="L1771" s="25"/>
      <c r="M1771" s="25"/>
    </row>
    <row r="1772" spans="3:13" x14ac:dyDescent="0.2"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3:13" x14ac:dyDescent="0.2">
      <c r="C1773" s="25"/>
      <c r="D1773" s="25"/>
      <c r="E1773" s="25"/>
      <c r="F1773" s="25"/>
      <c r="G1773" s="25"/>
      <c r="H1773" s="25"/>
      <c r="I1773" s="25"/>
      <c r="J1773" s="25"/>
      <c r="K1773" s="25"/>
      <c r="L1773" s="25"/>
      <c r="M1773" s="25"/>
    </row>
    <row r="1774" spans="3:13" x14ac:dyDescent="0.2"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3:13" x14ac:dyDescent="0.2">
      <c r="C1775" s="25"/>
      <c r="D1775" s="25"/>
      <c r="E1775" s="25"/>
      <c r="F1775" s="25"/>
      <c r="G1775" s="25"/>
      <c r="H1775" s="25"/>
      <c r="I1775" s="25"/>
      <c r="J1775" s="25"/>
      <c r="K1775" s="25"/>
      <c r="L1775" s="25"/>
      <c r="M1775" s="25"/>
    </row>
    <row r="1776" spans="3:13" x14ac:dyDescent="0.2"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3:13" x14ac:dyDescent="0.2">
      <c r="C1777" s="25"/>
      <c r="D1777" s="25"/>
      <c r="E1777" s="25"/>
      <c r="F1777" s="25"/>
      <c r="G1777" s="25"/>
      <c r="H1777" s="25"/>
      <c r="I1777" s="25"/>
      <c r="J1777" s="25"/>
      <c r="K1777" s="25"/>
      <c r="L1777" s="25"/>
      <c r="M1777" s="25"/>
    </row>
    <row r="1778" spans="3:13" x14ac:dyDescent="0.2"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3:13" x14ac:dyDescent="0.2">
      <c r="C1779" s="25"/>
      <c r="D1779" s="25"/>
      <c r="E1779" s="25"/>
      <c r="F1779" s="25"/>
      <c r="G1779" s="25"/>
      <c r="H1779" s="25"/>
      <c r="I1779" s="25"/>
      <c r="J1779" s="25"/>
      <c r="K1779" s="25"/>
      <c r="L1779" s="25"/>
      <c r="M1779" s="25"/>
    </row>
    <row r="1780" spans="3:13" x14ac:dyDescent="0.2"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3:13" x14ac:dyDescent="0.2">
      <c r="C1781" s="25"/>
      <c r="D1781" s="25"/>
      <c r="E1781" s="25"/>
      <c r="F1781" s="25"/>
      <c r="G1781" s="25"/>
      <c r="H1781" s="25"/>
      <c r="I1781" s="25"/>
      <c r="J1781" s="25"/>
      <c r="K1781" s="25"/>
      <c r="L1781" s="25"/>
      <c r="M1781" s="25"/>
    </row>
    <row r="1782" spans="3:13" x14ac:dyDescent="0.2"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3:13" x14ac:dyDescent="0.2">
      <c r="C1783" s="25"/>
      <c r="D1783" s="25"/>
      <c r="E1783" s="25"/>
      <c r="F1783" s="25"/>
      <c r="G1783" s="25"/>
      <c r="H1783" s="25"/>
      <c r="I1783" s="25"/>
      <c r="J1783" s="25"/>
      <c r="K1783" s="25"/>
      <c r="L1783" s="25"/>
      <c r="M1783" s="25"/>
    </row>
    <row r="1784" spans="3:13" x14ac:dyDescent="0.2"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3:13" x14ac:dyDescent="0.2">
      <c r="C1785" s="25"/>
      <c r="D1785" s="25"/>
      <c r="E1785" s="25"/>
      <c r="F1785" s="25"/>
      <c r="G1785" s="25"/>
      <c r="H1785" s="25"/>
      <c r="I1785" s="25"/>
      <c r="J1785" s="25"/>
      <c r="K1785" s="25"/>
      <c r="L1785" s="25"/>
      <c r="M1785" s="25"/>
    </row>
    <row r="1786" spans="3:13" x14ac:dyDescent="0.2"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3:13" x14ac:dyDescent="0.2">
      <c r="C1787" s="25"/>
      <c r="D1787" s="25"/>
      <c r="E1787" s="25"/>
      <c r="F1787" s="25"/>
      <c r="G1787" s="25"/>
      <c r="H1787" s="25"/>
      <c r="I1787" s="25"/>
      <c r="J1787" s="25"/>
      <c r="K1787" s="25"/>
      <c r="L1787" s="25"/>
      <c r="M1787" s="25"/>
    </row>
    <row r="1788" spans="3:13" x14ac:dyDescent="0.2"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3:13" x14ac:dyDescent="0.2">
      <c r="C1789" s="25"/>
      <c r="D1789" s="25"/>
      <c r="E1789" s="25"/>
      <c r="F1789" s="25"/>
      <c r="G1789" s="25"/>
      <c r="H1789" s="25"/>
      <c r="I1789" s="25"/>
      <c r="J1789" s="25"/>
      <c r="K1789" s="25"/>
      <c r="L1789" s="25"/>
      <c r="M1789" s="25"/>
    </row>
    <row r="1790" spans="3:13" x14ac:dyDescent="0.2"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3:13" x14ac:dyDescent="0.2">
      <c r="C1791" s="25"/>
      <c r="D1791" s="25"/>
      <c r="E1791" s="25"/>
      <c r="F1791" s="25"/>
      <c r="G1791" s="25"/>
      <c r="H1791" s="25"/>
      <c r="I1791" s="25"/>
      <c r="J1791" s="25"/>
      <c r="K1791" s="25"/>
      <c r="L1791" s="25"/>
      <c r="M1791" s="25"/>
    </row>
    <row r="1792" spans="3:13" x14ac:dyDescent="0.2"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3:13" x14ac:dyDescent="0.2">
      <c r="C1793" s="25"/>
      <c r="D1793" s="25"/>
      <c r="E1793" s="25"/>
      <c r="F1793" s="25"/>
      <c r="G1793" s="25"/>
      <c r="H1793" s="25"/>
      <c r="I1793" s="25"/>
      <c r="J1793" s="25"/>
      <c r="K1793" s="25"/>
      <c r="L1793" s="25"/>
      <c r="M1793" s="25"/>
    </row>
    <row r="1794" spans="3:13" x14ac:dyDescent="0.2"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3:13" x14ac:dyDescent="0.2">
      <c r="C1795" s="25"/>
      <c r="D1795" s="25"/>
      <c r="E1795" s="25"/>
      <c r="F1795" s="25"/>
      <c r="G1795" s="25"/>
      <c r="H1795" s="25"/>
      <c r="I1795" s="25"/>
      <c r="J1795" s="25"/>
      <c r="K1795" s="25"/>
      <c r="L1795" s="25"/>
      <c r="M1795" s="25"/>
    </row>
    <row r="1796" spans="3:13" x14ac:dyDescent="0.2"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3:13" x14ac:dyDescent="0.2">
      <c r="C1797" s="25"/>
      <c r="D1797" s="25"/>
      <c r="E1797" s="25"/>
      <c r="F1797" s="25"/>
      <c r="G1797" s="25"/>
      <c r="H1797" s="25"/>
      <c r="I1797" s="25"/>
      <c r="J1797" s="25"/>
      <c r="K1797" s="25"/>
      <c r="L1797" s="25"/>
      <c r="M1797" s="25"/>
    </row>
    <row r="1798" spans="3:13" x14ac:dyDescent="0.2"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3:13" x14ac:dyDescent="0.2">
      <c r="C1799" s="25"/>
      <c r="D1799" s="25"/>
      <c r="E1799" s="25"/>
      <c r="F1799" s="25"/>
      <c r="G1799" s="25"/>
      <c r="H1799" s="25"/>
      <c r="I1799" s="25"/>
      <c r="J1799" s="25"/>
      <c r="K1799" s="25"/>
      <c r="L1799" s="25"/>
      <c r="M1799" s="25"/>
    </row>
    <row r="1800" spans="3:13" x14ac:dyDescent="0.2"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3:13" x14ac:dyDescent="0.2">
      <c r="C1801" s="25"/>
      <c r="D1801" s="25"/>
      <c r="E1801" s="25"/>
      <c r="F1801" s="25"/>
      <c r="G1801" s="25"/>
      <c r="H1801" s="25"/>
      <c r="I1801" s="25"/>
      <c r="J1801" s="25"/>
      <c r="K1801" s="25"/>
      <c r="L1801" s="25"/>
      <c r="M1801" s="25"/>
    </row>
    <row r="1802" spans="3:13" x14ac:dyDescent="0.2"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3:13" x14ac:dyDescent="0.2">
      <c r="C1803" s="25"/>
      <c r="D1803" s="25"/>
      <c r="E1803" s="25"/>
      <c r="F1803" s="25"/>
      <c r="G1803" s="25"/>
      <c r="H1803" s="25"/>
      <c r="I1803" s="25"/>
      <c r="J1803" s="25"/>
      <c r="K1803" s="25"/>
      <c r="L1803" s="25"/>
      <c r="M1803" s="25"/>
    </row>
    <row r="1804" spans="3:13" x14ac:dyDescent="0.2"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3:13" x14ac:dyDescent="0.2">
      <c r="C1805" s="25"/>
      <c r="D1805" s="25"/>
      <c r="E1805" s="25"/>
      <c r="F1805" s="25"/>
      <c r="G1805" s="25"/>
      <c r="H1805" s="25"/>
      <c r="I1805" s="25"/>
      <c r="J1805" s="25"/>
      <c r="K1805" s="25"/>
      <c r="L1805" s="25"/>
      <c r="M1805" s="25"/>
    </row>
    <row r="1806" spans="3:13" x14ac:dyDescent="0.2"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3:13" x14ac:dyDescent="0.2">
      <c r="C1807" s="25"/>
      <c r="D1807" s="25"/>
      <c r="E1807" s="25"/>
      <c r="F1807" s="25"/>
      <c r="G1807" s="25"/>
      <c r="H1807" s="25"/>
      <c r="I1807" s="25"/>
      <c r="J1807" s="25"/>
      <c r="K1807" s="25"/>
      <c r="L1807" s="25"/>
      <c r="M1807" s="25"/>
    </row>
    <row r="1808" spans="3:13" x14ac:dyDescent="0.2"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3:13" x14ac:dyDescent="0.2">
      <c r="C1809" s="25"/>
      <c r="D1809" s="25"/>
      <c r="E1809" s="25"/>
      <c r="F1809" s="25"/>
      <c r="G1809" s="25"/>
      <c r="H1809" s="25"/>
      <c r="I1809" s="25"/>
      <c r="J1809" s="25"/>
      <c r="K1809" s="25"/>
      <c r="L1809" s="25"/>
      <c r="M1809" s="25"/>
    </row>
    <row r="1810" spans="3:13" x14ac:dyDescent="0.2"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3:13" x14ac:dyDescent="0.2">
      <c r="C1811" s="25"/>
      <c r="D1811" s="25"/>
      <c r="E1811" s="25"/>
      <c r="F1811" s="25"/>
      <c r="G1811" s="25"/>
      <c r="H1811" s="25"/>
      <c r="I1811" s="25"/>
      <c r="J1811" s="25"/>
      <c r="K1811" s="25"/>
      <c r="L1811" s="25"/>
      <c r="M1811" s="25"/>
    </row>
    <row r="1812" spans="3:13" x14ac:dyDescent="0.2"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3:13" x14ac:dyDescent="0.2">
      <c r="C1813" s="25"/>
      <c r="D1813" s="25"/>
      <c r="E1813" s="25"/>
      <c r="F1813" s="25"/>
      <c r="G1813" s="25"/>
      <c r="H1813" s="25"/>
      <c r="I1813" s="25"/>
      <c r="J1813" s="25"/>
      <c r="K1813" s="25"/>
      <c r="L1813" s="25"/>
      <c r="M1813" s="25"/>
    </row>
    <row r="1814" spans="3:13" x14ac:dyDescent="0.2"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3:13" x14ac:dyDescent="0.2">
      <c r="C1815" s="25"/>
      <c r="D1815" s="25"/>
      <c r="E1815" s="25"/>
      <c r="F1815" s="25"/>
      <c r="G1815" s="25"/>
      <c r="H1815" s="25"/>
      <c r="I1815" s="25"/>
      <c r="J1815" s="25"/>
      <c r="K1815" s="25"/>
      <c r="L1815" s="25"/>
      <c r="M1815" s="25"/>
    </row>
    <row r="1816" spans="3:13" x14ac:dyDescent="0.2"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3:13" x14ac:dyDescent="0.2">
      <c r="C1817" s="25"/>
      <c r="D1817" s="25"/>
      <c r="E1817" s="25"/>
      <c r="F1817" s="25"/>
      <c r="G1817" s="25"/>
      <c r="H1817" s="25"/>
      <c r="I1817" s="25"/>
      <c r="J1817" s="25"/>
      <c r="K1817" s="25"/>
      <c r="L1817" s="25"/>
      <c r="M1817" s="25"/>
    </row>
    <row r="1818" spans="3:13" x14ac:dyDescent="0.2"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3:13" x14ac:dyDescent="0.2">
      <c r="C1819" s="25"/>
      <c r="D1819" s="25"/>
      <c r="E1819" s="25"/>
      <c r="F1819" s="25"/>
      <c r="G1819" s="25"/>
      <c r="H1819" s="25"/>
      <c r="I1819" s="25"/>
      <c r="J1819" s="25"/>
      <c r="K1819" s="25"/>
      <c r="L1819" s="25"/>
      <c r="M1819" s="25"/>
    </row>
    <row r="1820" spans="3:13" x14ac:dyDescent="0.2"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3:13" x14ac:dyDescent="0.2">
      <c r="C1821" s="25"/>
      <c r="D1821" s="25"/>
      <c r="E1821" s="25"/>
      <c r="F1821" s="25"/>
      <c r="G1821" s="25"/>
      <c r="H1821" s="25"/>
      <c r="I1821" s="25"/>
      <c r="J1821" s="25"/>
      <c r="K1821" s="25"/>
      <c r="L1821" s="25"/>
      <c r="M1821" s="25"/>
    </row>
    <row r="1822" spans="3:13" x14ac:dyDescent="0.2"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3:13" x14ac:dyDescent="0.2">
      <c r="C1823" s="25"/>
      <c r="D1823" s="25"/>
      <c r="E1823" s="25"/>
      <c r="F1823" s="25"/>
      <c r="G1823" s="25"/>
      <c r="H1823" s="25"/>
      <c r="I1823" s="25"/>
      <c r="J1823" s="25"/>
      <c r="K1823" s="25"/>
      <c r="L1823" s="25"/>
      <c r="M1823" s="25"/>
    </row>
    <row r="1824" spans="3:13" x14ac:dyDescent="0.2"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3:13" x14ac:dyDescent="0.2">
      <c r="C1825" s="25"/>
      <c r="D1825" s="25"/>
      <c r="E1825" s="25"/>
      <c r="F1825" s="25"/>
      <c r="G1825" s="25"/>
      <c r="H1825" s="25"/>
      <c r="I1825" s="25"/>
      <c r="J1825" s="25"/>
      <c r="K1825" s="25"/>
      <c r="L1825" s="25"/>
      <c r="M1825" s="25"/>
    </row>
    <row r="1826" spans="3:13" x14ac:dyDescent="0.2"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3:13" x14ac:dyDescent="0.2">
      <c r="C1827" s="25"/>
      <c r="D1827" s="25"/>
      <c r="E1827" s="25"/>
      <c r="F1827" s="25"/>
      <c r="G1827" s="25"/>
      <c r="H1827" s="25"/>
      <c r="I1827" s="25"/>
      <c r="J1827" s="25"/>
      <c r="K1827" s="25"/>
      <c r="L1827" s="25"/>
      <c r="M1827" s="25"/>
    </row>
    <row r="1828" spans="3:13" x14ac:dyDescent="0.2"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3:13" x14ac:dyDescent="0.2">
      <c r="C1829" s="25"/>
      <c r="D1829" s="25"/>
      <c r="E1829" s="25"/>
      <c r="F1829" s="25"/>
      <c r="G1829" s="25"/>
      <c r="H1829" s="25"/>
      <c r="I1829" s="25"/>
      <c r="J1829" s="25"/>
      <c r="K1829" s="25"/>
      <c r="L1829" s="25"/>
      <c r="M1829" s="25"/>
    </row>
    <row r="1830" spans="3:13" x14ac:dyDescent="0.2"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3:13" x14ac:dyDescent="0.2">
      <c r="C1831" s="25"/>
      <c r="D1831" s="25"/>
      <c r="E1831" s="25"/>
      <c r="F1831" s="25"/>
      <c r="G1831" s="25"/>
      <c r="H1831" s="25"/>
      <c r="I1831" s="25"/>
      <c r="J1831" s="25"/>
      <c r="K1831" s="25"/>
      <c r="L1831" s="25"/>
      <c r="M1831" s="25"/>
    </row>
    <row r="1832" spans="3:13" x14ac:dyDescent="0.2"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3:13" x14ac:dyDescent="0.2">
      <c r="C1833" s="25"/>
      <c r="D1833" s="25"/>
      <c r="E1833" s="25"/>
      <c r="F1833" s="25"/>
      <c r="G1833" s="25"/>
      <c r="H1833" s="25"/>
      <c r="I1833" s="25"/>
      <c r="J1833" s="25"/>
      <c r="K1833" s="25"/>
      <c r="L1833" s="25"/>
      <c r="M1833" s="25"/>
    </row>
    <row r="1834" spans="3:13" x14ac:dyDescent="0.2"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3:13" x14ac:dyDescent="0.2">
      <c r="C1835" s="25"/>
      <c r="D1835" s="25"/>
      <c r="E1835" s="25"/>
      <c r="F1835" s="25"/>
      <c r="G1835" s="25"/>
      <c r="H1835" s="25"/>
      <c r="I1835" s="25"/>
      <c r="J1835" s="25"/>
      <c r="K1835" s="25"/>
      <c r="L1835" s="25"/>
      <c r="M1835" s="25"/>
    </row>
    <row r="1836" spans="3:13" x14ac:dyDescent="0.2"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3:13" x14ac:dyDescent="0.2">
      <c r="C1837" s="25"/>
      <c r="D1837" s="25"/>
      <c r="E1837" s="25"/>
      <c r="F1837" s="25"/>
      <c r="G1837" s="25"/>
      <c r="H1837" s="25"/>
      <c r="I1837" s="25"/>
      <c r="J1837" s="25"/>
      <c r="K1837" s="25"/>
      <c r="L1837" s="25"/>
      <c r="M1837" s="25"/>
    </row>
    <row r="1838" spans="3:13" x14ac:dyDescent="0.2"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3:13" x14ac:dyDescent="0.2">
      <c r="C1839" s="25"/>
      <c r="D1839" s="25"/>
      <c r="E1839" s="25"/>
      <c r="F1839" s="25"/>
      <c r="G1839" s="25"/>
      <c r="H1839" s="25"/>
      <c r="I1839" s="25"/>
      <c r="J1839" s="25"/>
      <c r="K1839" s="25"/>
      <c r="L1839" s="25"/>
      <c r="M1839" s="25"/>
    </row>
    <row r="1840" spans="3:13" x14ac:dyDescent="0.2"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3:13" x14ac:dyDescent="0.2">
      <c r="C1841" s="25"/>
      <c r="D1841" s="25"/>
      <c r="E1841" s="25"/>
      <c r="F1841" s="25"/>
      <c r="G1841" s="25"/>
      <c r="H1841" s="25"/>
      <c r="I1841" s="25"/>
      <c r="J1841" s="25"/>
      <c r="K1841" s="25"/>
      <c r="L1841" s="25"/>
      <c r="M1841" s="25"/>
    </row>
    <row r="1842" spans="3:13" x14ac:dyDescent="0.2"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3:13" x14ac:dyDescent="0.2">
      <c r="C1843" s="25"/>
      <c r="D1843" s="25"/>
      <c r="E1843" s="25"/>
      <c r="F1843" s="25"/>
      <c r="G1843" s="25"/>
      <c r="H1843" s="25"/>
      <c r="I1843" s="25"/>
      <c r="J1843" s="25"/>
      <c r="K1843" s="25"/>
      <c r="L1843" s="25"/>
      <c r="M1843" s="25"/>
    </row>
    <row r="1844" spans="3:13" x14ac:dyDescent="0.2"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3:13" x14ac:dyDescent="0.2">
      <c r="C1845" s="25"/>
      <c r="D1845" s="25"/>
      <c r="E1845" s="25"/>
      <c r="F1845" s="25"/>
      <c r="G1845" s="25"/>
      <c r="H1845" s="25"/>
      <c r="I1845" s="25"/>
      <c r="J1845" s="25"/>
      <c r="K1845" s="25"/>
      <c r="L1845" s="25"/>
      <c r="M1845" s="25"/>
    </row>
    <row r="1846" spans="3:13" x14ac:dyDescent="0.2"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3:13" x14ac:dyDescent="0.2">
      <c r="C1847" s="25"/>
      <c r="D1847" s="25"/>
      <c r="E1847" s="25"/>
      <c r="F1847" s="25"/>
      <c r="G1847" s="25"/>
      <c r="H1847" s="25"/>
      <c r="I1847" s="25"/>
      <c r="J1847" s="25"/>
      <c r="K1847" s="25"/>
      <c r="L1847" s="25"/>
      <c r="M1847" s="25"/>
    </row>
    <row r="1848" spans="3:13" x14ac:dyDescent="0.2"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3:13" x14ac:dyDescent="0.2">
      <c r="C1849" s="25"/>
      <c r="D1849" s="25"/>
      <c r="E1849" s="25"/>
      <c r="F1849" s="25"/>
      <c r="G1849" s="25"/>
      <c r="H1849" s="25"/>
      <c r="I1849" s="25"/>
      <c r="J1849" s="25"/>
      <c r="K1849" s="25"/>
      <c r="L1849" s="25"/>
      <c r="M1849" s="25"/>
    </row>
    <row r="1850" spans="3:13" x14ac:dyDescent="0.2"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3:13" x14ac:dyDescent="0.2">
      <c r="C1851" s="25"/>
      <c r="D1851" s="25"/>
      <c r="E1851" s="25"/>
      <c r="F1851" s="25"/>
      <c r="G1851" s="25"/>
      <c r="H1851" s="25"/>
      <c r="I1851" s="25"/>
      <c r="J1851" s="25"/>
      <c r="K1851" s="25"/>
      <c r="L1851" s="25"/>
      <c r="M1851" s="25"/>
    </row>
    <row r="1852" spans="3:13" x14ac:dyDescent="0.2"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3:13" x14ac:dyDescent="0.2">
      <c r="C1853" s="25"/>
      <c r="D1853" s="25"/>
      <c r="E1853" s="25"/>
      <c r="F1853" s="25"/>
      <c r="G1853" s="25"/>
      <c r="H1853" s="25"/>
      <c r="I1853" s="25"/>
      <c r="J1853" s="25"/>
      <c r="K1853" s="25"/>
      <c r="L1853" s="25"/>
      <c r="M1853" s="25"/>
    </row>
    <row r="1854" spans="3:13" x14ac:dyDescent="0.2"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3:13" x14ac:dyDescent="0.2">
      <c r="C1855" s="25"/>
      <c r="D1855" s="25"/>
      <c r="E1855" s="25"/>
      <c r="F1855" s="25"/>
      <c r="G1855" s="25"/>
      <c r="H1855" s="25"/>
      <c r="I1855" s="25"/>
      <c r="J1855" s="25"/>
      <c r="K1855" s="25"/>
      <c r="L1855" s="25"/>
      <c r="M1855" s="25"/>
    </row>
    <row r="1856" spans="3:13" x14ac:dyDescent="0.2"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3:13" x14ac:dyDescent="0.2">
      <c r="C1857" s="25"/>
      <c r="D1857" s="25"/>
      <c r="E1857" s="25"/>
      <c r="F1857" s="25"/>
      <c r="G1857" s="25"/>
      <c r="H1857" s="25"/>
      <c r="I1857" s="25"/>
      <c r="J1857" s="25"/>
      <c r="K1857" s="25"/>
      <c r="L1857" s="25"/>
      <c r="M1857" s="25"/>
    </row>
    <row r="1858" spans="3:13" x14ac:dyDescent="0.2"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3:13" x14ac:dyDescent="0.2">
      <c r="C1859" s="25"/>
      <c r="D1859" s="25"/>
      <c r="E1859" s="25"/>
      <c r="F1859" s="25"/>
      <c r="G1859" s="25"/>
      <c r="H1859" s="25"/>
      <c r="I1859" s="25"/>
      <c r="J1859" s="25"/>
      <c r="K1859" s="25"/>
      <c r="L1859" s="25"/>
      <c r="M1859" s="25"/>
    </row>
    <row r="1860" spans="3:13" x14ac:dyDescent="0.2"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3:13" x14ac:dyDescent="0.2">
      <c r="C1861" s="25"/>
      <c r="D1861" s="25"/>
      <c r="E1861" s="25"/>
      <c r="F1861" s="25"/>
      <c r="G1861" s="25"/>
      <c r="H1861" s="25"/>
      <c r="I1861" s="25"/>
      <c r="J1861" s="25"/>
      <c r="K1861" s="25"/>
      <c r="L1861" s="25"/>
      <c r="M1861" s="25"/>
    </row>
    <row r="1862" spans="3:13" x14ac:dyDescent="0.2"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3:13" x14ac:dyDescent="0.2">
      <c r="C1863" s="25"/>
      <c r="D1863" s="25"/>
      <c r="E1863" s="25"/>
      <c r="F1863" s="25"/>
      <c r="G1863" s="25"/>
      <c r="H1863" s="25"/>
      <c r="I1863" s="25"/>
      <c r="J1863" s="25"/>
      <c r="K1863" s="25"/>
      <c r="L1863" s="25"/>
      <c r="M1863" s="25"/>
    </row>
    <row r="1864" spans="3:13" x14ac:dyDescent="0.2"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3:13" x14ac:dyDescent="0.2">
      <c r="C1865" s="25"/>
      <c r="D1865" s="25"/>
      <c r="E1865" s="25"/>
      <c r="F1865" s="25"/>
      <c r="G1865" s="25"/>
      <c r="H1865" s="25"/>
      <c r="I1865" s="25"/>
      <c r="J1865" s="25"/>
      <c r="K1865" s="25"/>
      <c r="L1865" s="25"/>
      <c r="M1865" s="25"/>
    </row>
    <row r="1866" spans="3:13" x14ac:dyDescent="0.2"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3:13" x14ac:dyDescent="0.2">
      <c r="C1867" s="25"/>
      <c r="D1867" s="25"/>
      <c r="E1867" s="25"/>
      <c r="F1867" s="25"/>
      <c r="G1867" s="25"/>
      <c r="H1867" s="25"/>
      <c r="I1867" s="25"/>
      <c r="J1867" s="25"/>
      <c r="K1867" s="25"/>
      <c r="L1867" s="25"/>
      <c r="M1867" s="25"/>
    </row>
    <row r="1868" spans="3:13" x14ac:dyDescent="0.2"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3:13" x14ac:dyDescent="0.2">
      <c r="C1869" s="25"/>
      <c r="D1869" s="25"/>
      <c r="E1869" s="25"/>
      <c r="F1869" s="25"/>
      <c r="G1869" s="25"/>
      <c r="H1869" s="25"/>
      <c r="I1869" s="25"/>
      <c r="J1869" s="25"/>
      <c r="K1869" s="25"/>
      <c r="L1869" s="25"/>
      <c r="M1869" s="25"/>
    </row>
    <row r="1870" spans="3:13" x14ac:dyDescent="0.2"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3:13" x14ac:dyDescent="0.2">
      <c r="C1871" s="25"/>
      <c r="D1871" s="25"/>
      <c r="E1871" s="25"/>
      <c r="F1871" s="25"/>
      <c r="G1871" s="25"/>
      <c r="H1871" s="25"/>
      <c r="I1871" s="25"/>
      <c r="J1871" s="25"/>
      <c r="K1871" s="25"/>
      <c r="L1871" s="25"/>
      <c r="M1871" s="25"/>
    </row>
    <row r="1872" spans="3:13" x14ac:dyDescent="0.2"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3:13" x14ac:dyDescent="0.2">
      <c r="C1873" s="25"/>
      <c r="D1873" s="25"/>
      <c r="E1873" s="25"/>
      <c r="F1873" s="25"/>
      <c r="G1873" s="25"/>
      <c r="H1873" s="25"/>
      <c r="I1873" s="25"/>
      <c r="J1873" s="25"/>
      <c r="K1873" s="25"/>
      <c r="L1873" s="25"/>
      <c r="M1873" s="25"/>
    </row>
    <row r="1874" spans="3:13" x14ac:dyDescent="0.2"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3:13" x14ac:dyDescent="0.2">
      <c r="C1875" s="25"/>
      <c r="D1875" s="25"/>
      <c r="E1875" s="25"/>
      <c r="F1875" s="25"/>
      <c r="G1875" s="25"/>
      <c r="H1875" s="25"/>
      <c r="I1875" s="25"/>
      <c r="J1875" s="25"/>
      <c r="K1875" s="25"/>
      <c r="L1875" s="25"/>
      <c r="M1875" s="25"/>
    </row>
    <row r="1876" spans="3:13" x14ac:dyDescent="0.2"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3:13" x14ac:dyDescent="0.2">
      <c r="C1877" s="25"/>
      <c r="D1877" s="25"/>
      <c r="E1877" s="25"/>
      <c r="F1877" s="25"/>
      <c r="G1877" s="25"/>
      <c r="H1877" s="25"/>
      <c r="I1877" s="25"/>
      <c r="J1877" s="25"/>
      <c r="K1877" s="25"/>
      <c r="L1877" s="25"/>
      <c r="M1877" s="25"/>
    </row>
    <row r="1878" spans="3:13" x14ac:dyDescent="0.2"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3:13" x14ac:dyDescent="0.2">
      <c r="C1879" s="25"/>
      <c r="D1879" s="25"/>
      <c r="E1879" s="25"/>
      <c r="F1879" s="25"/>
      <c r="G1879" s="25"/>
      <c r="H1879" s="25"/>
      <c r="I1879" s="25"/>
      <c r="J1879" s="25"/>
      <c r="K1879" s="25"/>
      <c r="L1879" s="25"/>
      <c r="M1879" s="25"/>
    </row>
    <row r="1880" spans="3:13" x14ac:dyDescent="0.2"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3:13" x14ac:dyDescent="0.2">
      <c r="C1881" s="25"/>
      <c r="D1881" s="25"/>
      <c r="E1881" s="25"/>
      <c r="F1881" s="25"/>
      <c r="G1881" s="25"/>
      <c r="H1881" s="25"/>
      <c r="I1881" s="25"/>
      <c r="J1881" s="25"/>
      <c r="K1881" s="25"/>
      <c r="L1881" s="25"/>
      <c r="M1881" s="25"/>
    </row>
    <row r="1882" spans="3:13" x14ac:dyDescent="0.2"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3:13" x14ac:dyDescent="0.2">
      <c r="C1883" s="25"/>
      <c r="D1883" s="25"/>
      <c r="E1883" s="25"/>
      <c r="F1883" s="25"/>
      <c r="G1883" s="25"/>
      <c r="H1883" s="25"/>
      <c r="I1883" s="25"/>
      <c r="J1883" s="25"/>
      <c r="K1883" s="25"/>
      <c r="L1883" s="25"/>
      <c r="M1883" s="25"/>
    </row>
    <row r="1884" spans="3:13" x14ac:dyDescent="0.2"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3:13" x14ac:dyDescent="0.2">
      <c r="C1885" s="25"/>
      <c r="D1885" s="25"/>
      <c r="E1885" s="25"/>
      <c r="F1885" s="25"/>
      <c r="G1885" s="25"/>
      <c r="H1885" s="25"/>
      <c r="I1885" s="25"/>
      <c r="J1885" s="25"/>
      <c r="K1885" s="25"/>
      <c r="L1885" s="25"/>
      <c r="M1885" s="25"/>
    </row>
    <row r="1886" spans="3:13" x14ac:dyDescent="0.2"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3:13" x14ac:dyDescent="0.2">
      <c r="C1887" s="25"/>
      <c r="D1887" s="25"/>
      <c r="E1887" s="25"/>
      <c r="F1887" s="25"/>
      <c r="G1887" s="25"/>
      <c r="H1887" s="25"/>
      <c r="I1887" s="25"/>
      <c r="J1887" s="25"/>
      <c r="K1887" s="25"/>
      <c r="L1887" s="25"/>
      <c r="M1887" s="25"/>
    </row>
    <row r="1888" spans="3:13" x14ac:dyDescent="0.2"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3:13" x14ac:dyDescent="0.2">
      <c r="C1889" s="25"/>
      <c r="D1889" s="25"/>
      <c r="E1889" s="25"/>
      <c r="F1889" s="25"/>
      <c r="G1889" s="25"/>
      <c r="H1889" s="25"/>
      <c r="I1889" s="25"/>
      <c r="J1889" s="25"/>
      <c r="K1889" s="25"/>
      <c r="L1889" s="25"/>
      <c r="M1889" s="25"/>
    </row>
    <row r="1890" spans="3:13" x14ac:dyDescent="0.2"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3:13" x14ac:dyDescent="0.2">
      <c r="C1891" s="25"/>
      <c r="D1891" s="25"/>
      <c r="E1891" s="25"/>
      <c r="F1891" s="25"/>
      <c r="G1891" s="25"/>
      <c r="H1891" s="25"/>
      <c r="I1891" s="25"/>
      <c r="J1891" s="25"/>
      <c r="K1891" s="25"/>
      <c r="L1891" s="25"/>
      <c r="M1891" s="25"/>
    </row>
    <row r="1892" spans="3:13" x14ac:dyDescent="0.2"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3:13" x14ac:dyDescent="0.2">
      <c r="C1893" s="25"/>
      <c r="D1893" s="25"/>
      <c r="E1893" s="25"/>
      <c r="F1893" s="25"/>
      <c r="G1893" s="25"/>
      <c r="H1893" s="25"/>
      <c r="I1893" s="25"/>
      <c r="J1893" s="25"/>
      <c r="K1893" s="25"/>
      <c r="L1893" s="25"/>
      <c r="M1893" s="25"/>
    </row>
    <row r="1894" spans="3:13" x14ac:dyDescent="0.2"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3:13" x14ac:dyDescent="0.2">
      <c r="C1895" s="25"/>
      <c r="D1895" s="25"/>
      <c r="E1895" s="25"/>
      <c r="F1895" s="25"/>
      <c r="G1895" s="25"/>
      <c r="H1895" s="25"/>
      <c r="I1895" s="25"/>
      <c r="J1895" s="25"/>
      <c r="K1895" s="25"/>
      <c r="L1895" s="25"/>
      <c r="M1895" s="25"/>
    </row>
    <row r="1896" spans="3:13" x14ac:dyDescent="0.2"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3:13" x14ac:dyDescent="0.2">
      <c r="C1897" s="25"/>
      <c r="D1897" s="25"/>
      <c r="E1897" s="25"/>
      <c r="F1897" s="25"/>
      <c r="G1897" s="25"/>
      <c r="H1897" s="25"/>
      <c r="I1897" s="25"/>
      <c r="J1897" s="25"/>
      <c r="K1897" s="25"/>
      <c r="L1897" s="25"/>
      <c r="M1897" s="25"/>
    </row>
    <row r="1898" spans="3:13" x14ac:dyDescent="0.2"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3:13" x14ac:dyDescent="0.2">
      <c r="C1899" s="25"/>
      <c r="D1899" s="25"/>
      <c r="E1899" s="25"/>
      <c r="F1899" s="25"/>
      <c r="G1899" s="25"/>
      <c r="H1899" s="25"/>
      <c r="I1899" s="25"/>
      <c r="J1899" s="25"/>
      <c r="K1899" s="25"/>
      <c r="L1899" s="25"/>
      <c r="M1899" s="25"/>
    </row>
    <row r="1900" spans="3:13" x14ac:dyDescent="0.2"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3:13" x14ac:dyDescent="0.2">
      <c r="C1901" s="25"/>
      <c r="D1901" s="25"/>
      <c r="E1901" s="25"/>
      <c r="F1901" s="25"/>
      <c r="G1901" s="25"/>
      <c r="H1901" s="25"/>
      <c r="I1901" s="25"/>
      <c r="J1901" s="25"/>
      <c r="K1901" s="25"/>
      <c r="L1901" s="25"/>
      <c r="M1901" s="25"/>
    </row>
    <row r="1902" spans="3:13" x14ac:dyDescent="0.2"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3:13" x14ac:dyDescent="0.2">
      <c r="C1903" s="25"/>
      <c r="D1903" s="25"/>
      <c r="E1903" s="25"/>
      <c r="F1903" s="25"/>
      <c r="G1903" s="25"/>
      <c r="H1903" s="25"/>
      <c r="I1903" s="25"/>
      <c r="J1903" s="25"/>
      <c r="K1903" s="25"/>
      <c r="L1903" s="25"/>
      <c r="M1903" s="25"/>
    </row>
    <row r="1904" spans="3:13" x14ac:dyDescent="0.2"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3:13" x14ac:dyDescent="0.2">
      <c r="C1905" s="25"/>
      <c r="D1905" s="25"/>
      <c r="E1905" s="25"/>
      <c r="F1905" s="25"/>
      <c r="G1905" s="25"/>
      <c r="H1905" s="25"/>
      <c r="I1905" s="25"/>
      <c r="J1905" s="25"/>
      <c r="K1905" s="25"/>
      <c r="L1905" s="25"/>
      <c r="M1905" s="25"/>
    </row>
    <row r="1906" spans="3:13" x14ac:dyDescent="0.2"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3:13" x14ac:dyDescent="0.2">
      <c r="C1907" s="25"/>
      <c r="D1907" s="25"/>
      <c r="E1907" s="25"/>
      <c r="F1907" s="25"/>
      <c r="G1907" s="25"/>
      <c r="H1907" s="25"/>
      <c r="I1907" s="25"/>
      <c r="J1907" s="25"/>
      <c r="K1907" s="25"/>
      <c r="L1907" s="25"/>
      <c r="M1907" s="25"/>
    </row>
    <row r="1908" spans="3:13" x14ac:dyDescent="0.2"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3:13" x14ac:dyDescent="0.2">
      <c r="C1909" s="25"/>
      <c r="D1909" s="25"/>
      <c r="E1909" s="25"/>
      <c r="F1909" s="25"/>
      <c r="G1909" s="25"/>
      <c r="H1909" s="25"/>
      <c r="I1909" s="25"/>
      <c r="J1909" s="25"/>
      <c r="K1909" s="25"/>
      <c r="L1909" s="25"/>
      <c r="M1909" s="25"/>
    </row>
    <row r="1910" spans="3:13" x14ac:dyDescent="0.2"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3:13" x14ac:dyDescent="0.2">
      <c r="C1911" s="25"/>
      <c r="D1911" s="25"/>
      <c r="E1911" s="25"/>
      <c r="F1911" s="25"/>
      <c r="G1911" s="25"/>
      <c r="H1911" s="25"/>
      <c r="I1911" s="25"/>
      <c r="J1911" s="25"/>
      <c r="K1911" s="25"/>
      <c r="L1911" s="25"/>
      <c r="M1911" s="25"/>
    </row>
    <row r="1912" spans="3:13" x14ac:dyDescent="0.2"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3:13" x14ac:dyDescent="0.2">
      <c r="C1913" s="25"/>
      <c r="D1913" s="25"/>
      <c r="E1913" s="25"/>
      <c r="F1913" s="25"/>
      <c r="G1913" s="25"/>
      <c r="H1913" s="25"/>
      <c r="I1913" s="25"/>
      <c r="J1913" s="25"/>
      <c r="K1913" s="25"/>
      <c r="L1913" s="25"/>
      <c r="M1913" s="25"/>
    </row>
    <row r="1914" spans="3:13" x14ac:dyDescent="0.2"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3:13" x14ac:dyDescent="0.2">
      <c r="C1915" s="25"/>
      <c r="D1915" s="25"/>
      <c r="E1915" s="25"/>
      <c r="F1915" s="25"/>
      <c r="G1915" s="25"/>
      <c r="H1915" s="25"/>
      <c r="I1915" s="25"/>
      <c r="J1915" s="25"/>
      <c r="K1915" s="25"/>
      <c r="L1915" s="25"/>
      <c r="M1915" s="25"/>
    </row>
    <row r="1916" spans="3:13" x14ac:dyDescent="0.2"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3:13" x14ac:dyDescent="0.2">
      <c r="C1917" s="25"/>
      <c r="D1917" s="25"/>
      <c r="E1917" s="25"/>
      <c r="F1917" s="25"/>
      <c r="G1917" s="25"/>
      <c r="H1917" s="25"/>
      <c r="I1917" s="25"/>
      <c r="J1917" s="25"/>
      <c r="K1917" s="25"/>
      <c r="L1917" s="25"/>
      <c r="M1917" s="25"/>
    </row>
    <row r="1918" spans="3:13" x14ac:dyDescent="0.2"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3:13" x14ac:dyDescent="0.2">
      <c r="C1919" s="25"/>
      <c r="D1919" s="25"/>
      <c r="E1919" s="25"/>
      <c r="F1919" s="25"/>
      <c r="G1919" s="25"/>
      <c r="H1919" s="25"/>
      <c r="I1919" s="25"/>
      <c r="J1919" s="25"/>
      <c r="K1919" s="25"/>
      <c r="L1919" s="25"/>
      <c r="M1919" s="25"/>
    </row>
    <row r="1920" spans="3:13" x14ac:dyDescent="0.2"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3:13" x14ac:dyDescent="0.2">
      <c r="C1921" s="25"/>
      <c r="D1921" s="25"/>
      <c r="E1921" s="25"/>
      <c r="F1921" s="25"/>
      <c r="G1921" s="25"/>
      <c r="H1921" s="25"/>
      <c r="I1921" s="25"/>
      <c r="J1921" s="25"/>
      <c r="K1921" s="25"/>
      <c r="L1921" s="25"/>
      <c r="M1921" s="25"/>
    </row>
    <row r="1922" spans="3:13" x14ac:dyDescent="0.2"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3:13" x14ac:dyDescent="0.2">
      <c r="C1923" s="25"/>
      <c r="D1923" s="25"/>
      <c r="E1923" s="25"/>
      <c r="F1923" s="25"/>
      <c r="G1923" s="25"/>
      <c r="H1923" s="25"/>
      <c r="I1923" s="25"/>
      <c r="J1923" s="25"/>
      <c r="K1923" s="25"/>
      <c r="L1923" s="25"/>
      <c r="M1923" s="25"/>
    </row>
    <row r="1924" spans="3:13" x14ac:dyDescent="0.2"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3:13" x14ac:dyDescent="0.2">
      <c r="C1925" s="25"/>
      <c r="D1925" s="25"/>
      <c r="E1925" s="25"/>
      <c r="F1925" s="25"/>
      <c r="G1925" s="25"/>
      <c r="H1925" s="25"/>
      <c r="I1925" s="25"/>
      <c r="J1925" s="25"/>
      <c r="K1925" s="25"/>
      <c r="L1925" s="25"/>
      <c r="M1925" s="25"/>
    </row>
    <row r="1926" spans="3:13" x14ac:dyDescent="0.2"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3:13" x14ac:dyDescent="0.2">
      <c r="C1927" s="25"/>
      <c r="D1927" s="25"/>
      <c r="E1927" s="25"/>
      <c r="F1927" s="25"/>
      <c r="G1927" s="25"/>
      <c r="H1927" s="25"/>
      <c r="I1927" s="25"/>
      <c r="J1927" s="25"/>
      <c r="K1927" s="25"/>
      <c r="L1927" s="25"/>
      <c r="M1927" s="25"/>
    </row>
    <row r="1928" spans="3:13" x14ac:dyDescent="0.2"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3:13" x14ac:dyDescent="0.2">
      <c r="C1929" s="25"/>
      <c r="D1929" s="25"/>
      <c r="E1929" s="25"/>
      <c r="F1929" s="25"/>
      <c r="G1929" s="25"/>
      <c r="H1929" s="25"/>
      <c r="I1929" s="25"/>
      <c r="J1929" s="25"/>
      <c r="K1929" s="25"/>
      <c r="L1929" s="25"/>
      <c r="M1929" s="25"/>
    </row>
    <row r="1930" spans="3:13" x14ac:dyDescent="0.2"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3:13" x14ac:dyDescent="0.2">
      <c r="C1931" s="25"/>
      <c r="D1931" s="25"/>
      <c r="E1931" s="25"/>
      <c r="F1931" s="25"/>
      <c r="G1931" s="25"/>
      <c r="H1931" s="25"/>
      <c r="I1931" s="25"/>
      <c r="J1931" s="25"/>
      <c r="K1931" s="25"/>
      <c r="L1931" s="25"/>
      <c r="M1931" s="25"/>
    </row>
    <row r="1932" spans="3:13" x14ac:dyDescent="0.2"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3:13" x14ac:dyDescent="0.2">
      <c r="C1933" s="25"/>
      <c r="D1933" s="25"/>
      <c r="E1933" s="25"/>
      <c r="F1933" s="25"/>
      <c r="G1933" s="25"/>
      <c r="H1933" s="25"/>
      <c r="I1933" s="25"/>
      <c r="J1933" s="25"/>
      <c r="K1933" s="25"/>
      <c r="L1933" s="25"/>
      <c r="M1933" s="25"/>
    </row>
    <row r="1934" spans="3:13" x14ac:dyDescent="0.2"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3:13" x14ac:dyDescent="0.2">
      <c r="C1935" s="25"/>
      <c r="D1935" s="25"/>
      <c r="E1935" s="25"/>
      <c r="F1935" s="25"/>
      <c r="G1935" s="25"/>
      <c r="H1935" s="25"/>
      <c r="I1935" s="25"/>
      <c r="J1935" s="25"/>
      <c r="K1935" s="25"/>
      <c r="L1935" s="25"/>
      <c r="M1935" s="25"/>
    </row>
    <row r="1936" spans="3:13" x14ac:dyDescent="0.2"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3:13" x14ac:dyDescent="0.2">
      <c r="C1937" s="25"/>
      <c r="D1937" s="25"/>
      <c r="E1937" s="25"/>
      <c r="F1937" s="25"/>
      <c r="G1937" s="25"/>
      <c r="H1937" s="25"/>
      <c r="I1937" s="25"/>
      <c r="J1937" s="25"/>
      <c r="K1937" s="25"/>
      <c r="L1937" s="25"/>
      <c r="M1937" s="25"/>
    </row>
    <row r="1938" spans="3:13" x14ac:dyDescent="0.2"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3:13" x14ac:dyDescent="0.2">
      <c r="C1939" s="25"/>
      <c r="D1939" s="25"/>
      <c r="E1939" s="25"/>
      <c r="F1939" s="25"/>
      <c r="G1939" s="25"/>
      <c r="H1939" s="25"/>
      <c r="I1939" s="25"/>
      <c r="J1939" s="25"/>
      <c r="K1939" s="25"/>
      <c r="L1939" s="25"/>
      <c r="M1939" s="25"/>
    </row>
    <row r="1940" spans="3:13" x14ac:dyDescent="0.2"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3:13" x14ac:dyDescent="0.2">
      <c r="C1941" s="25"/>
      <c r="D1941" s="25"/>
      <c r="E1941" s="25"/>
      <c r="F1941" s="25"/>
      <c r="G1941" s="25"/>
      <c r="H1941" s="25"/>
      <c r="I1941" s="25"/>
      <c r="J1941" s="25"/>
      <c r="K1941" s="25"/>
      <c r="L1941" s="25"/>
      <c r="M1941" s="25"/>
    </row>
    <row r="1942" spans="3:13" x14ac:dyDescent="0.2"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3:13" x14ac:dyDescent="0.2">
      <c r="C1943" s="25"/>
      <c r="D1943" s="25"/>
      <c r="E1943" s="25"/>
      <c r="F1943" s="25"/>
      <c r="G1943" s="25"/>
      <c r="H1943" s="25"/>
      <c r="I1943" s="25"/>
      <c r="J1943" s="25"/>
      <c r="K1943" s="25"/>
      <c r="L1943" s="25"/>
      <c r="M1943" s="25"/>
    </row>
    <row r="1944" spans="3:13" x14ac:dyDescent="0.2"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3:13" x14ac:dyDescent="0.2">
      <c r="C1945" s="25"/>
      <c r="D1945" s="25"/>
      <c r="E1945" s="25"/>
      <c r="F1945" s="25"/>
      <c r="G1945" s="25"/>
      <c r="H1945" s="25"/>
      <c r="I1945" s="25"/>
      <c r="J1945" s="25"/>
      <c r="K1945" s="25"/>
      <c r="L1945" s="25"/>
      <c r="M1945" s="25"/>
    </row>
    <row r="1946" spans="3:13" x14ac:dyDescent="0.2"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3:13" x14ac:dyDescent="0.2">
      <c r="C1947" s="25"/>
      <c r="D1947" s="25"/>
      <c r="E1947" s="25"/>
      <c r="F1947" s="25"/>
      <c r="G1947" s="25"/>
      <c r="H1947" s="25"/>
      <c r="I1947" s="25"/>
      <c r="J1947" s="25"/>
      <c r="K1947" s="25"/>
      <c r="L1947" s="25"/>
      <c r="M1947" s="25"/>
    </row>
    <row r="1948" spans="3:13" x14ac:dyDescent="0.2"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3:13" x14ac:dyDescent="0.2">
      <c r="C1949" s="25"/>
      <c r="D1949" s="25"/>
      <c r="E1949" s="25"/>
      <c r="F1949" s="25"/>
      <c r="G1949" s="25"/>
      <c r="H1949" s="25"/>
      <c r="I1949" s="25"/>
      <c r="J1949" s="25"/>
      <c r="K1949" s="25"/>
      <c r="L1949" s="25"/>
      <c r="M1949" s="25"/>
    </row>
    <row r="1950" spans="3:13" x14ac:dyDescent="0.2"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3:13" x14ac:dyDescent="0.2">
      <c r="C1951" s="25"/>
      <c r="D1951" s="25"/>
      <c r="E1951" s="25"/>
      <c r="F1951" s="25"/>
      <c r="G1951" s="25"/>
      <c r="H1951" s="25"/>
      <c r="I1951" s="25"/>
      <c r="J1951" s="25"/>
      <c r="K1951" s="25"/>
      <c r="L1951" s="25"/>
      <c r="M1951" s="25"/>
    </row>
    <row r="1952" spans="3:13" x14ac:dyDescent="0.2"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3:13" x14ac:dyDescent="0.2">
      <c r="C1953" s="25"/>
      <c r="D1953" s="25"/>
      <c r="E1953" s="25"/>
      <c r="F1953" s="25"/>
      <c r="G1953" s="25"/>
      <c r="H1953" s="25"/>
      <c r="I1953" s="25"/>
      <c r="J1953" s="25"/>
      <c r="K1953" s="25"/>
      <c r="L1953" s="25"/>
      <c r="M1953" s="25"/>
    </row>
    <row r="1954" spans="3:13" x14ac:dyDescent="0.2"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3:13" x14ac:dyDescent="0.2">
      <c r="C1955" s="25"/>
      <c r="D1955" s="25"/>
      <c r="E1955" s="25"/>
      <c r="F1955" s="25"/>
      <c r="G1955" s="25"/>
      <c r="H1955" s="25"/>
      <c r="I1955" s="25"/>
      <c r="J1955" s="25"/>
      <c r="K1955" s="25"/>
      <c r="L1955" s="25"/>
      <c r="M1955" s="25"/>
    </row>
    <row r="1956" spans="3:13" x14ac:dyDescent="0.2"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3:13" x14ac:dyDescent="0.2">
      <c r="C1957" s="25"/>
      <c r="D1957" s="25"/>
      <c r="E1957" s="25"/>
      <c r="F1957" s="25"/>
      <c r="G1957" s="25"/>
      <c r="H1957" s="25"/>
      <c r="I1957" s="25"/>
      <c r="J1957" s="25"/>
      <c r="K1957" s="25"/>
      <c r="L1957" s="25"/>
      <c r="M1957" s="25"/>
    </row>
    <row r="1958" spans="3:13" x14ac:dyDescent="0.2"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3:13" x14ac:dyDescent="0.2">
      <c r="C1959" s="25"/>
      <c r="D1959" s="25"/>
      <c r="E1959" s="25"/>
      <c r="F1959" s="25"/>
      <c r="G1959" s="25"/>
      <c r="H1959" s="25"/>
      <c r="I1959" s="25"/>
      <c r="J1959" s="25"/>
      <c r="K1959" s="25"/>
      <c r="L1959" s="25"/>
      <c r="M1959" s="25"/>
    </row>
    <row r="1960" spans="3:13" x14ac:dyDescent="0.2"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3:13" x14ac:dyDescent="0.2">
      <c r="C1961" s="25"/>
      <c r="D1961" s="25"/>
      <c r="E1961" s="25"/>
      <c r="F1961" s="25"/>
      <c r="G1961" s="25"/>
      <c r="H1961" s="25"/>
      <c r="I1961" s="25"/>
      <c r="J1961" s="25"/>
      <c r="K1961" s="25"/>
      <c r="L1961" s="25"/>
      <c r="M1961" s="25"/>
    </row>
    <row r="1962" spans="3:13" x14ac:dyDescent="0.2"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3:13" x14ac:dyDescent="0.2">
      <c r="C1963" s="25"/>
      <c r="D1963" s="25"/>
      <c r="E1963" s="25"/>
      <c r="F1963" s="25"/>
      <c r="G1963" s="25"/>
      <c r="H1963" s="25"/>
      <c r="I1963" s="25"/>
      <c r="J1963" s="25"/>
      <c r="K1963" s="25"/>
      <c r="L1963" s="25"/>
      <c r="M1963" s="25"/>
    </row>
    <row r="1964" spans="3:13" x14ac:dyDescent="0.2"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3:13" x14ac:dyDescent="0.2">
      <c r="C1965" s="25"/>
      <c r="D1965" s="25"/>
      <c r="E1965" s="25"/>
      <c r="F1965" s="25"/>
      <c r="G1965" s="25"/>
      <c r="H1965" s="25"/>
      <c r="I1965" s="25"/>
      <c r="J1965" s="25"/>
      <c r="K1965" s="25"/>
      <c r="L1965" s="25"/>
      <c r="M1965" s="25"/>
    </row>
    <row r="1966" spans="3:13" x14ac:dyDescent="0.2"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3:13" x14ac:dyDescent="0.2">
      <c r="C1967" s="25"/>
      <c r="D1967" s="25"/>
      <c r="E1967" s="25"/>
      <c r="F1967" s="25"/>
      <c r="G1967" s="25"/>
      <c r="H1967" s="25"/>
      <c r="I1967" s="25"/>
      <c r="J1967" s="25"/>
      <c r="K1967" s="25"/>
      <c r="L1967" s="25"/>
      <c r="M1967" s="25"/>
    </row>
    <row r="1968" spans="3:13" x14ac:dyDescent="0.2"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3:13" x14ac:dyDescent="0.2">
      <c r="C1969" s="25"/>
      <c r="D1969" s="25"/>
      <c r="E1969" s="25"/>
      <c r="F1969" s="25"/>
      <c r="G1969" s="25"/>
      <c r="H1969" s="25"/>
      <c r="I1969" s="25"/>
      <c r="J1969" s="25"/>
      <c r="K1969" s="25"/>
      <c r="L1969" s="25"/>
      <c r="M1969" s="25"/>
    </row>
    <row r="1970" spans="3:13" x14ac:dyDescent="0.2"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3:13" x14ac:dyDescent="0.2">
      <c r="C1971" s="25"/>
      <c r="D1971" s="25"/>
      <c r="E1971" s="25"/>
      <c r="F1971" s="25"/>
      <c r="G1971" s="25"/>
      <c r="H1971" s="25"/>
      <c r="I1971" s="25"/>
      <c r="J1971" s="25"/>
      <c r="K1971" s="25"/>
      <c r="L1971" s="25"/>
      <c r="M1971" s="25"/>
    </row>
    <row r="1972" spans="3:13" x14ac:dyDescent="0.2"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3:13" x14ac:dyDescent="0.2">
      <c r="C1973" s="25"/>
      <c r="D1973" s="25"/>
      <c r="E1973" s="25"/>
      <c r="F1973" s="25"/>
      <c r="G1973" s="25"/>
      <c r="H1973" s="25"/>
      <c r="I1973" s="25"/>
      <c r="J1973" s="25"/>
      <c r="K1973" s="25"/>
      <c r="L1973" s="25"/>
      <c r="M1973" s="25"/>
    </row>
    <row r="1974" spans="3:13" x14ac:dyDescent="0.2"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3:13" x14ac:dyDescent="0.2">
      <c r="C1975" s="25"/>
      <c r="D1975" s="25"/>
      <c r="E1975" s="25"/>
      <c r="F1975" s="25"/>
      <c r="G1975" s="25"/>
      <c r="H1975" s="25"/>
      <c r="I1975" s="25"/>
      <c r="J1975" s="25"/>
      <c r="K1975" s="25"/>
      <c r="L1975" s="25"/>
      <c r="M1975" s="25"/>
    </row>
    <row r="1976" spans="3:13" x14ac:dyDescent="0.2"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3:13" x14ac:dyDescent="0.2">
      <c r="C1977" s="25"/>
      <c r="D1977" s="25"/>
      <c r="E1977" s="25"/>
      <c r="F1977" s="25"/>
      <c r="G1977" s="25"/>
      <c r="H1977" s="25"/>
      <c r="I1977" s="25"/>
      <c r="J1977" s="25"/>
      <c r="K1977" s="25"/>
      <c r="L1977" s="25"/>
      <c r="M1977" s="25"/>
    </row>
    <row r="1978" spans="3:13" x14ac:dyDescent="0.2"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3:13" x14ac:dyDescent="0.2">
      <c r="C1979" s="25"/>
      <c r="D1979" s="25"/>
      <c r="E1979" s="25"/>
      <c r="F1979" s="25"/>
      <c r="G1979" s="25"/>
      <c r="H1979" s="25"/>
      <c r="I1979" s="25"/>
      <c r="J1979" s="25"/>
      <c r="K1979" s="25"/>
      <c r="L1979" s="25"/>
      <c r="M1979" s="25"/>
    </row>
    <row r="1980" spans="3:13" x14ac:dyDescent="0.2"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3:13" x14ac:dyDescent="0.2">
      <c r="C1981" s="25"/>
      <c r="D1981" s="25"/>
      <c r="E1981" s="25"/>
      <c r="F1981" s="25"/>
      <c r="G1981" s="25"/>
      <c r="H1981" s="25"/>
      <c r="I1981" s="25"/>
      <c r="J1981" s="25"/>
      <c r="K1981" s="25"/>
      <c r="L1981" s="25"/>
      <c r="M1981" s="25"/>
    </row>
    <row r="1982" spans="3:13" x14ac:dyDescent="0.2"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3:13" x14ac:dyDescent="0.2">
      <c r="C1983" s="25"/>
      <c r="D1983" s="25"/>
      <c r="E1983" s="25"/>
      <c r="F1983" s="25"/>
      <c r="G1983" s="25"/>
      <c r="H1983" s="25"/>
      <c r="I1983" s="25"/>
      <c r="J1983" s="25"/>
      <c r="K1983" s="25"/>
      <c r="L1983" s="25"/>
      <c r="M1983" s="25"/>
    </row>
    <row r="1984" spans="3:13" x14ac:dyDescent="0.2"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3:13" x14ac:dyDescent="0.2">
      <c r="C1985" s="25"/>
      <c r="D1985" s="25"/>
      <c r="E1985" s="25"/>
      <c r="F1985" s="25"/>
      <c r="G1985" s="25"/>
      <c r="H1985" s="25"/>
      <c r="I1985" s="25"/>
      <c r="J1985" s="25"/>
      <c r="K1985" s="25"/>
      <c r="L1985" s="25"/>
      <c r="M1985" s="25"/>
    </row>
    <row r="1986" spans="3:13" x14ac:dyDescent="0.2"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3:13" x14ac:dyDescent="0.2">
      <c r="C1987" s="25"/>
      <c r="D1987" s="25"/>
      <c r="E1987" s="25"/>
      <c r="F1987" s="25"/>
      <c r="G1987" s="25"/>
      <c r="H1987" s="25"/>
      <c r="I1987" s="25"/>
      <c r="J1987" s="25"/>
      <c r="K1987" s="25"/>
      <c r="L1987" s="25"/>
      <c r="M1987" s="25"/>
    </row>
    <row r="1988" spans="3:13" x14ac:dyDescent="0.2"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3:13" x14ac:dyDescent="0.2">
      <c r="C1989" s="25"/>
      <c r="D1989" s="25"/>
      <c r="E1989" s="25"/>
      <c r="F1989" s="25"/>
      <c r="G1989" s="25"/>
      <c r="H1989" s="25"/>
      <c r="I1989" s="25"/>
      <c r="J1989" s="25"/>
      <c r="K1989" s="25"/>
      <c r="L1989" s="25"/>
      <c r="M1989" s="25"/>
    </row>
    <row r="1990" spans="3:13" x14ac:dyDescent="0.2"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3:13" x14ac:dyDescent="0.2">
      <c r="C1991" s="25"/>
      <c r="D1991" s="25"/>
      <c r="E1991" s="25"/>
      <c r="F1991" s="25"/>
      <c r="G1991" s="25"/>
      <c r="H1991" s="25"/>
      <c r="I1991" s="25"/>
      <c r="J1991" s="25"/>
      <c r="K1991" s="25"/>
      <c r="L1991" s="25"/>
      <c r="M1991" s="25"/>
    </row>
    <row r="1992" spans="3:13" x14ac:dyDescent="0.2"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3:13" x14ac:dyDescent="0.2">
      <c r="C1993" s="25"/>
      <c r="D1993" s="25"/>
      <c r="E1993" s="25"/>
      <c r="F1993" s="25"/>
      <c r="G1993" s="25"/>
      <c r="H1993" s="25"/>
      <c r="I1993" s="25"/>
      <c r="J1993" s="25"/>
      <c r="K1993" s="25"/>
      <c r="L1993" s="25"/>
      <c r="M1993" s="25"/>
    </row>
    <row r="1994" spans="3:13" x14ac:dyDescent="0.2"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3:13" x14ac:dyDescent="0.2">
      <c r="C1995" s="25"/>
      <c r="D1995" s="25"/>
      <c r="E1995" s="25"/>
      <c r="F1995" s="25"/>
      <c r="G1995" s="25"/>
      <c r="H1995" s="25"/>
      <c r="I1995" s="25"/>
      <c r="J1995" s="25"/>
      <c r="K1995" s="25"/>
      <c r="L1995" s="25"/>
      <c r="M1995" s="25"/>
    </row>
    <row r="1996" spans="3:13" x14ac:dyDescent="0.2"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3:13" x14ac:dyDescent="0.2">
      <c r="C1997" s="25"/>
      <c r="D1997" s="25"/>
      <c r="E1997" s="25"/>
      <c r="F1997" s="25"/>
      <c r="G1997" s="25"/>
      <c r="H1997" s="25"/>
      <c r="I1997" s="25"/>
      <c r="J1997" s="25"/>
      <c r="K1997" s="25"/>
      <c r="L1997" s="25"/>
      <c r="M1997" s="25"/>
    </row>
    <row r="1998" spans="3:13" x14ac:dyDescent="0.2"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3:13" x14ac:dyDescent="0.2">
      <c r="C1999" s="25"/>
      <c r="D1999" s="25"/>
      <c r="E1999" s="25"/>
      <c r="F1999" s="25"/>
      <c r="G1999" s="25"/>
      <c r="H1999" s="25"/>
      <c r="I1999" s="25"/>
      <c r="J1999" s="25"/>
      <c r="K1999" s="25"/>
      <c r="L1999" s="25"/>
      <c r="M1999" s="25"/>
    </row>
    <row r="2000" spans="3:13" x14ac:dyDescent="0.2"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</sheetData>
  <sortState ref="M42:M50">
    <sortCondition ref="M34"/>
  </sortState>
  <mergeCells count="14">
    <mergeCell ref="X109:X112"/>
    <mergeCell ref="X113:X116"/>
    <mergeCell ref="X117:X120"/>
    <mergeCell ref="X85:X88"/>
    <mergeCell ref="X89:X92"/>
    <mergeCell ref="X93:X96"/>
    <mergeCell ref="X97:X100"/>
    <mergeCell ref="X101:X104"/>
    <mergeCell ref="X105:X108"/>
    <mergeCell ref="S17:S21"/>
    <mergeCell ref="S23:S28"/>
    <mergeCell ref="S11:S15"/>
    <mergeCell ref="S5:S9"/>
    <mergeCell ref="S37:S4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32"/>
  <sheetViews>
    <sheetView workbookViewId="0">
      <selection activeCell="H17" sqref="H17"/>
    </sheetView>
  </sheetViews>
  <sheetFormatPr defaultRowHeight="11.25" x14ac:dyDescent="0.2"/>
  <cols>
    <col min="1" max="1" width="5.625" style="2" bestFit="1" customWidth="1"/>
    <col min="2" max="2" width="8.375" style="173" bestFit="1" customWidth="1"/>
    <col min="3" max="3" width="9.75" style="173" bestFit="1" customWidth="1"/>
    <col min="4" max="4" width="5.625" style="173" bestFit="1" customWidth="1"/>
    <col min="5" max="5" width="6.25" style="173" bestFit="1" customWidth="1"/>
    <col min="6" max="6" width="4.5" style="119" bestFit="1" customWidth="1"/>
    <col min="7" max="7" width="4.5" style="175" bestFit="1" customWidth="1"/>
    <col min="8" max="8" width="9.5" style="7" bestFit="1" customWidth="1"/>
    <col min="9" max="9" width="9.5" style="1" bestFit="1" customWidth="1"/>
    <col min="10" max="10" width="5.625" style="174" bestFit="1" customWidth="1"/>
    <col min="11" max="11" width="7.75" style="174" bestFit="1" customWidth="1"/>
    <col min="12" max="12" width="5.625" style="174" bestFit="1" customWidth="1"/>
    <col min="13" max="13" width="8.375" style="176" bestFit="1" customWidth="1"/>
    <col min="14" max="14" width="9.75" style="1" bestFit="1" customWidth="1"/>
    <col min="15" max="15" width="5.625" style="1" bestFit="1" customWidth="1"/>
    <col min="16" max="16" width="4.5" style="1" bestFit="1" customWidth="1"/>
    <col min="17" max="18" width="7" style="119" bestFit="1" customWidth="1"/>
    <col min="19" max="16384" width="9" style="1"/>
  </cols>
  <sheetData>
    <row r="1" spans="1:18" x14ac:dyDescent="0.2">
      <c r="A1" s="2" t="s">
        <v>335</v>
      </c>
      <c r="B1" s="173" t="s">
        <v>340</v>
      </c>
      <c r="C1" s="173" t="s">
        <v>342</v>
      </c>
      <c r="D1" s="173" t="s">
        <v>336</v>
      </c>
      <c r="E1" s="173" t="s">
        <v>4</v>
      </c>
      <c r="F1" s="119" t="s">
        <v>337</v>
      </c>
      <c r="G1" s="175" t="s">
        <v>338</v>
      </c>
      <c r="H1" s="7" t="s">
        <v>343</v>
      </c>
      <c r="I1" s="7" t="s">
        <v>344</v>
      </c>
      <c r="M1" s="176" t="str">
        <f>유닛스탯!C2</f>
        <v>근접공격력</v>
      </c>
      <c r="N1" s="1" t="str">
        <f>유닛스탯!D2</f>
        <v>원거리공격력</v>
      </c>
      <c r="O1" s="1" t="str">
        <f>유닛스탯!E2</f>
        <v>방어력</v>
      </c>
      <c r="P1" s="1" t="str">
        <f>유닛스탯!F2</f>
        <v>체력</v>
      </c>
      <c r="Q1" s="119" t="str">
        <f>유닛스탯!G2</f>
        <v>공격속도</v>
      </c>
      <c r="R1" s="119" t="str">
        <f>유닛스탯!H2</f>
        <v>이동속도</v>
      </c>
    </row>
    <row r="2" spans="1:18" x14ac:dyDescent="0.2">
      <c r="A2" s="2">
        <v>1</v>
      </c>
      <c r="B2" s="173">
        <f>M$2*$A2</f>
        <v>75</v>
      </c>
      <c r="C2" s="173">
        <f t="shared" ref="C2:G2" si="0">N$2*$A2</f>
        <v>0</v>
      </c>
      <c r="D2" s="173">
        <f t="shared" si="0"/>
        <v>10</v>
      </c>
      <c r="E2" s="173">
        <f t="shared" si="0"/>
        <v>950</v>
      </c>
      <c r="F2" s="119">
        <f t="shared" ref="F2:F11" si="1">Q$2/A2</f>
        <v>2</v>
      </c>
      <c r="G2" s="175">
        <f t="shared" si="0"/>
        <v>4.5</v>
      </c>
      <c r="H2" s="7">
        <f>B2/$F2</f>
        <v>37.5</v>
      </c>
      <c r="I2" s="7">
        <f>C2/$F2</f>
        <v>0</v>
      </c>
      <c r="M2" s="176">
        <f>유닛스탯!C3</f>
        <v>75</v>
      </c>
      <c r="N2" s="1">
        <f>유닛스탯!D3</f>
        <v>0</v>
      </c>
      <c r="O2" s="1">
        <f>유닛스탯!E3</f>
        <v>10</v>
      </c>
      <c r="P2" s="1">
        <f>유닛스탯!F3</f>
        <v>950</v>
      </c>
      <c r="Q2" s="119">
        <f>유닛스탯!G3</f>
        <v>2</v>
      </c>
      <c r="R2" s="119">
        <f>유닛스탯!H3</f>
        <v>4.5</v>
      </c>
    </row>
    <row r="3" spans="1:18" x14ac:dyDescent="0.2">
      <c r="A3" s="2">
        <v>1.1000000000000001</v>
      </c>
      <c r="B3" s="173">
        <f t="shared" ref="B3:B32" si="2">M$2*$A3</f>
        <v>82.5</v>
      </c>
      <c r="C3" s="173">
        <f t="shared" ref="C3:C32" si="3">N$2*$A3</f>
        <v>0</v>
      </c>
      <c r="D3" s="173">
        <f t="shared" ref="D3:D32" si="4">O$2*$A3</f>
        <v>11</v>
      </c>
      <c r="E3" s="173">
        <f t="shared" ref="E3:E32" si="5">P$2*$A3</f>
        <v>1045</v>
      </c>
      <c r="F3" s="119">
        <f t="shared" si="1"/>
        <v>1.8181818181818181</v>
      </c>
      <c r="G3" s="175">
        <f t="shared" ref="G3:G32" si="6">R$2*$A3</f>
        <v>4.95</v>
      </c>
      <c r="H3" s="7">
        <f t="shared" ref="H3:I32" si="7">B3/$F3</f>
        <v>45.375</v>
      </c>
      <c r="I3" s="7">
        <f t="shared" si="7"/>
        <v>0</v>
      </c>
    </row>
    <row r="4" spans="1:18" x14ac:dyDescent="0.2">
      <c r="A4" s="2">
        <v>1.2</v>
      </c>
      <c r="B4" s="173">
        <f t="shared" si="2"/>
        <v>90</v>
      </c>
      <c r="C4" s="173">
        <f t="shared" si="3"/>
        <v>0</v>
      </c>
      <c r="D4" s="173">
        <f t="shared" si="4"/>
        <v>12</v>
      </c>
      <c r="E4" s="173">
        <f t="shared" si="5"/>
        <v>1140</v>
      </c>
      <c r="F4" s="119">
        <f t="shared" si="1"/>
        <v>1.6666666666666667</v>
      </c>
      <c r="G4" s="175">
        <f t="shared" si="6"/>
        <v>5.3999999999999995</v>
      </c>
      <c r="H4" s="7">
        <f t="shared" si="7"/>
        <v>54</v>
      </c>
      <c r="I4" s="7">
        <f t="shared" si="7"/>
        <v>0</v>
      </c>
    </row>
    <row r="5" spans="1:18" x14ac:dyDescent="0.2">
      <c r="A5" s="2">
        <v>1.3</v>
      </c>
      <c r="B5" s="173">
        <f t="shared" si="2"/>
        <v>97.5</v>
      </c>
      <c r="C5" s="173">
        <f t="shared" si="3"/>
        <v>0</v>
      </c>
      <c r="D5" s="173">
        <f t="shared" si="4"/>
        <v>13</v>
      </c>
      <c r="E5" s="173">
        <f t="shared" si="5"/>
        <v>1235</v>
      </c>
      <c r="F5" s="119">
        <f t="shared" si="1"/>
        <v>1.5384615384615383</v>
      </c>
      <c r="G5" s="175">
        <f t="shared" si="6"/>
        <v>5.8500000000000005</v>
      </c>
      <c r="H5" s="7">
        <f t="shared" si="7"/>
        <v>63.375000000000007</v>
      </c>
      <c r="I5" s="7">
        <f t="shared" si="7"/>
        <v>0</v>
      </c>
    </row>
    <row r="6" spans="1:18" x14ac:dyDescent="0.2">
      <c r="A6" s="2">
        <v>1.4</v>
      </c>
      <c r="B6" s="173">
        <f t="shared" si="2"/>
        <v>105</v>
      </c>
      <c r="C6" s="173">
        <f t="shared" si="3"/>
        <v>0</v>
      </c>
      <c r="D6" s="173">
        <f t="shared" si="4"/>
        <v>14</v>
      </c>
      <c r="E6" s="173">
        <f t="shared" si="5"/>
        <v>1330</v>
      </c>
      <c r="F6" s="119">
        <f t="shared" si="1"/>
        <v>1.4285714285714286</v>
      </c>
      <c r="G6" s="175">
        <f t="shared" si="6"/>
        <v>6.3</v>
      </c>
      <c r="H6" s="7">
        <f t="shared" si="7"/>
        <v>73.5</v>
      </c>
      <c r="I6" s="7">
        <f t="shared" si="7"/>
        <v>0</v>
      </c>
    </row>
    <row r="7" spans="1:18" x14ac:dyDescent="0.2">
      <c r="A7" s="2">
        <v>1.5</v>
      </c>
      <c r="B7" s="173">
        <f t="shared" si="2"/>
        <v>112.5</v>
      </c>
      <c r="C7" s="173">
        <f t="shared" si="3"/>
        <v>0</v>
      </c>
      <c r="D7" s="173">
        <f t="shared" si="4"/>
        <v>15</v>
      </c>
      <c r="E7" s="173">
        <f t="shared" si="5"/>
        <v>1425</v>
      </c>
      <c r="F7" s="119">
        <f t="shared" si="1"/>
        <v>1.3333333333333333</v>
      </c>
      <c r="G7" s="175">
        <f t="shared" si="6"/>
        <v>6.75</v>
      </c>
      <c r="H7" s="7">
        <f t="shared" si="7"/>
        <v>84.375</v>
      </c>
      <c r="I7" s="7">
        <f t="shared" si="7"/>
        <v>0</v>
      </c>
    </row>
    <row r="8" spans="1:18" x14ac:dyDescent="0.2">
      <c r="A8" s="2">
        <v>1.6</v>
      </c>
      <c r="B8" s="173">
        <f t="shared" si="2"/>
        <v>120</v>
      </c>
      <c r="C8" s="173">
        <f t="shared" si="3"/>
        <v>0</v>
      </c>
      <c r="D8" s="173">
        <f t="shared" si="4"/>
        <v>16</v>
      </c>
      <c r="E8" s="173">
        <f t="shared" si="5"/>
        <v>1520</v>
      </c>
      <c r="F8" s="119">
        <f t="shared" si="1"/>
        <v>1.25</v>
      </c>
      <c r="G8" s="175">
        <f t="shared" si="6"/>
        <v>7.2</v>
      </c>
      <c r="H8" s="7">
        <f t="shared" si="7"/>
        <v>96</v>
      </c>
      <c r="I8" s="7">
        <f t="shared" si="7"/>
        <v>0</v>
      </c>
    </row>
    <row r="9" spans="1:18" x14ac:dyDescent="0.2">
      <c r="A9" s="2">
        <v>1.7</v>
      </c>
      <c r="B9" s="173">
        <f t="shared" si="2"/>
        <v>127.5</v>
      </c>
      <c r="C9" s="173">
        <f t="shared" si="3"/>
        <v>0</v>
      </c>
      <c r="D9" s="173">
        <f t="shared" si="4"/>
        <v>17</v>
      </c>
      <c r="E9" s="173">
        <f t="shared" si="5"/>
        <v>1615</v>
      </c>
      <c r="F9" s="119">
        <f t="shared" si="1"/>
        <v>1.1764705882352942</v>
      </c>
      <c r="G9" s="175">
        <f t="shared" si="6"/>
        <v>7.6499999999999995</v>
      </c>
      <c r="H9" s="7">
        <f t="shared" si="7"/>
        <v>108.375</v>
      </c>
      <c r="I9" s="7">
        <f t="shared" si="7"/>
        <v>0</v>
      </c>
    </row>
    <row r="10" spans="1:18" x14ac:dyDescent="0.2">
      <c r="A10" s="2">
        <v>1.8</v>
      </c>
      <c r="B10" s="173">
        <f t="shared" si="2"/>
        <v>135</v>
      </c>
      <c r="C10" s="173">
        <f t="shared" si="3"/>
        <v>0</v>
      </c>
      <c r="D10" s="173">
        <f t="shared" si="4"/>
        <v>18</v>
      </c>
      <c r="E10" s="173">
        <f t="shared" si="5"/>
        <v>1710</v>
      </c>
      <c r="F10" s="119">
        <f t="shared" si="1"/>
        <v>1.1111111111111112</v>
      </c>
      <c r="G10" s="175">
        <f t="shared" si="6"/>
        <v>8.1</v>
      </c>
      <c r="H10" s="7">
        <f t="shared" si="7"/>
        <v>121.5</v>
      </c>
      <c r="I10" s="7">
        <f t="shared" si="7"/>
        <v>0</v>
      </c>
    </row>
    <row r="11" spans="1:18" x14ac:dyDescent="0.2">
      <c r="A11" s="2">
        <v>1.9</v>
      </c>
      <c r="B11" s="173">
        <f t="shared" si="2"/>
        <v>142.5</v>
      </c>
      <c r="C11" s="173">
        <f t="shared" si="3"/>
        <v>0</v>
      </c>
      <c r="D11" s="173">
        <f t="shared" si="4"/>
        <v>19</v>
      </c>
      <c r="E11" s="173">
        <f t="shared" si="5"/>
        <v>1805</v>
      </c>
      <c r="F11" s="119">
        <f t="shared" si="1"/>
        <v>1.0526315789473684</v>
      </c>
      <c r="G11" s="175">
        <f t="shared" si="6"/>
        <v>8.5499999999999989</v>
      </c>
      <c r="H11" s="7">
        <f t="shared" si="7"/>
        <v>135.375</v>
      </c>
      <c r="I11" s="7">
        <f t="shared" si="7"/>
        <v>0</v>
      </c>
    </row>
    <row r="12" spans="1:18" x14ac:dyDescent="0.2">
      <c r="A12" s="2">
        <v>2</v>
      </c>
      <c r="B12" s="173">
        <f t="shared" si="2"/>
        <v>150</v>
      </c>
      <c r="C12" s="173">
        <f t="shared" si="3"/>
        <v>0</v>
      </c>
      <c r="D12" s="173">
        <f t="shared" si="4"/>
        <v>20</v>
      </c>
      <c r="E12" s="173">
        <f t="shared" si="5"/>
        <v>1900</v>
      </c>
      <c r="F12" s="119">
        <f>Q$2/A12</f>
        <v>1</v>
      </c>
      <c r="G12" s="175">
        <f t="shared" si="6"/>
        <v>9</v>
      </c>
      <c r="H12" s="7">
        <f t="shared" si="7"/>
        <v>150</v>
      </c>
      <c r="I12" s="7">
        <f t="shared" si="7"/>
        <v>0</v>
      </c>
    </row>
    <row r="13" spans="1:18" x14ac:dyDescent="0.2">
      <c r="A13" s="2">
        <v>2.1</v>
      </c>
      <c r="B13" s="173">
        <f t="shared" si="2"/>
        <v>157.5</v>
      </c>
      <c r="C13" s="173">
        <f t="shared" si="3"/>
        <v>0</v>
      </c>
      <c r="D13" s="173">
        <f t="shared" si="4"/>
        <v>21</v>
      </c>
      <c r="E13" s="173">
        <f t="shared" si="5"/>
        <v>1995</v>
      </c>
      <c r="F13" s="119">
        <f t="shared" ref="F13:F32" si="8">Q$2/A13</f>
        <v>0.95238095238095233</v>
      </c>
      <c r="G13" s="175">
        <f t="shared" si="6"/>
        <v>9.4500000000000011</v>
      </c>
      <c r="H13" s="7">
        <f t="shared" si="7"/>
        <v>165.375</v>
      </c>
      <c r="I13" s="7">
        <f t="shared" si="7"/>
        <v>0</v>
      </c>
    </row>
    <row r="14" spans="1:18" x14ac:dyDescent="0.2">
      <c r="A14" s="2">
        <v>2.2000000000000002</v>
      </c>
      <c r="B14" s="173">
        <f t="shared" si="2"/>
        <v>165</v>
      </c>
      <c r="C14" s="173">
        <f t="shared" si="3"/>
        <v>0</v>
      </c>
      <c r="D14" s="173">
        <f t="shared" si="4"/>
        <v>22</v>
      </c>
      <c r="E14" s="173">
        <f t="shared" si="5"/>
        <v>2090</v>
      </c>
      <c r="F14" s="119">
        <f t="shared" si="8"/>
        <v>0.90909090909090906</v>
      </c>
      <c r="G14" s="175">
        <f t="shared" si="6"/>
        <v>9.9</v>
      </c>
      <c r="H14" s="7">
        <f t="shared" si="7"/>
        <v>181.5</v>
      </c>
      <c r="I14" s="7">
        <f t="shared" si="7"/>
        <v>0</v>
      </c>
    </row>
    <row r="15" spans="1:18" x14ac:dyDescent="0.2">
      <c r="A15" s="2">
        <v>2.2999999999999998</v>
      </c>
      <c r="B15" s="173">
        <f t="shared" si="2"/>
        <v>172.5</v>
      </c>
      <c r="C15" s="173">
        <f t="shared" si="3"/>
        <v>0</v>
      </c>
      <c r="D15" s="173">
        <f t="shared" si="4"/>
        <v>23</v>
      </c>
      <c r="E15" s="173">
        <f t="shared" si="5"/>
        <v>2185</v>
      </c>
      <c r="F15" s="119">
        <f t="shared" si="8"/>
        <v>0.86956521739130443</v>
      </c>
      <c r="G15" s="175">
        <f t="shared" si="6"/>
        <v>10.35</v>
      </c>
      <c r="H15" s="7">
        <f t="shared" si="7"/>
        <v>198.37499999999997</v>
      </c>
      <c r="I15" s="7">
        <f t="shared" si="7"/>
        <v>0</v>
      </c>
    </row>
    <row r="16" spans="1:18" x14ac:dyDescent="0.2">
      <c r="A16" s="2">
        <v>2.4</v>
      </c>
      <c r="B16" s="173">
        <f t="shared" si="2"/>
        <v>180</v>
      </c>
      <c r="C16" s="173">
        <f t="shared" si="3"/>
        <v>0</v>
      </c>
      <c r="D16" s="173">
        <f t="shared" si="4"/>
        <v>24</v>
      </c>
      <c r="E16" s="173">
        <f t="shared" si="5"/>
        <v>2280</v>
      </c>
      <c r="F16" s="119">
        <f t="shared" si="8"/>
        <v>0.83333333333333337</v>
      </c>
      <c r="G16" s="175">
        <f t="shared" si="6"/>
        <v>10.799999999999999</v>
      </c>
      <c r="H16" s="7">
        <f t="shared" si="7"/>
        <v>216</v>
      </c>
      <c r="I16" s="7">
        <f t="shared" si="7"/>
        <v>0</v>
      </c>
    </row>
    <row r="17" spans="1:9" x14ac:dyDescent="0.2">
      <c r="A17" s="2">
        <v>2.5</v>
      </c>
      <c r="B17" s="173">
        <f t="shared" si="2"/>
        <v>187.5</v>
      </c>
      <c r="C17" s="173">
        <f t="shared" si="3"/>
        <v>0</v>
      </c>
      <c r="D17" s="173">
        <f t="shared" si="4"/>
        <v>25</v>
      </c>
      <c r="E17" s="173">
        <f t="shared" si="5"/>
        <v>2375</v>
      </c>
      <c r="F17" s="119">
        <f t="shared" si="8"/>
        <v>0.8</v>
      </c>
      <c r="G17" s="175">
        <f t="shared" si="6"/>
        <v>11.25</v>
      </c>
      <c r="H17" s="7">
        <f t="shared" si="7"/>
        <v>234.375</v>
      </c>
      <c r="I17" s="7">
        <f t="shared" si="7"/>
        <v>0</v>
      </c>
    </row>
    <row r="18" spans="1:9" x14ac:dyDescent="0.2">
      <c r="A18" s="2">
        <v>2.6</v>
      </c>
      <c r="B18" s="173">
        <f t="shared" si="2"/>
        <v>195</v>
      </c>
      <c r="C18" s="173">
        <f t="shared" si="3"/>
        <v>0</v>
      </c>
      <c r="D18" s="173">
        <f t="shared" si="4"/>
        <v>26</v>
      </c>
      <c r="E18" s="173">
        <f t="shared" si="5"/>
        <v>2470</v>
      </c>
      <c r="F18" s="119">
        <f t="shared" si="8"/>
        <v>0.76923076923076916</v>
      </c>
      <c r="G18" s="175">
        <f t="shared" si="6"/>
        <v>11.700000000000001</v>
      </c>
      <c r="H18" s="7">
        <f t="shared" si="7"/>
        <v>253.50000000000003</v>
      </c>
      <c r="I18" s="7">
        <f t="shared" si="7"/>
        <v>0</v>
      </c>
    </row>
    <row r="19" spans="1:9" x14ac:dyDescent="0.2">
      <c r="A19" s="2">
        <v>2.7</v>
      </c>
      <c r="B19" s="173">
        <f t="shared" si="2"/>
        <v>202.5</v>
      </c>
      <c r="C19" s="173">
        <f t="shared" si="3"/>
        <v>0</v>
      </c>
      <c r="D19" s="173">
        <f t="shared" si="4"/>
        <v>27</v>
      </c>
      <c r="E19" s="173">
        <f t="shared" si="5"/>
        <v>2565</v>
      </c>
      <c r="F19" s="119">
        <f t="shared" si="8"/>
        <v>0.7407407407407407</v>
      </c>
      <c r="G19" s="175">
        <f t="shared" si="6"/>
        <v>12.15</v>
      </c>
      <c r="H19" s="7">
        <f t="shared" si="7"/>
        <v>273.375</v>
      </c>
      <c r="I19" s="7">
        <f t="shared" si="7"/>
        <v>0</v>
      </c>
    </row>
    <row r="20" spans="1:9" x14ac:dyDescent="0.2">
      <c r="A20" s="2">
        <v>2.8</v>
      </c>
      <c r="B20" s="173">
        <f t="shared" si="2"/>
        <v>210</v>
      </c>
      <c r="C20" s="173">
        <f t="shared" si="3"/>
        <v>0</v>
      </c>
      <c r="D20" s="173">
        <f t="shared" si="4"/>
        <v>28</v>
      </c>
      <c r="E20" s="173">
        <f t="shared" si="5"/>
        <v>2660</v>
      </c>
      <c r="F20" s="119">
        <f t="shared" si="8"/>
        <v>0.7142857142857143</v>
      </c>
      <c r="G20" s="175">
        <f t="shared" si="6"/>
        <v>12.6</v>
      </c>
      <c r="H20" s="7">
        <f t="shared" si="7"/>
        <v>294</v>
      </c>
      <c r="I20" s="7">
        <f t="shared" si="7"/>
        <v>0</v>
      </c>
    </row>
    <row r="21" spans="1:9" x14ac:dyDescent="0.2">
      <c r="A21" s="2">
        <v>2.9</v>
      </c>
      <c r="B21" s="173">
        <f t="shared" si="2"/>
        <v>217.5</v>
      </c>
      <c r="C21" s="173">
        <f t="shared" si="3"/>
        <v>0</v>
      </c>
      <c r="D21" s="173">
        <f t="shared" si="4"/>
        <v>29</v>
      </c>
      <c r="E21" s="173">
        <f t="shared" si="5"/>
        <v>2755</v>
      </c>
      <c r="F21" s="119">
        <f t="shared" si="8"/>
        <v>0.68965517241379315</v>
      </c>
      <c r="G21" s="175">
        <f t="shared" si="6"/>
        <v>13.049999999999999</v>
      </c>
      <c r="H21" s="7">
        <f t="shared" si="7"/>
        <v>315.375</v>
      </c>
      <c r="I21" s="7">
        <f t="shared" si="7"/>
        <v>0</v>
      </c>
    </row>
    <row r="22" spans="1:9" x14ac:dyDescent="0.2">
      <c r="A22" s="2">
        <v>3</v>
      </c>
      <c r="B22" s="173">
        <f t="shared" si="2"/>
        <v>225</v>
      </c>
      <c r="C22" s="173">
        <f t="shared" si="3"/>
        <v>0</v>
      </c>
      <c r="D22" s="173">
        <f t="shared" si="4"/>
        <v>30</v>
      </c>
      <c r="E22" s="173">
        <f t="shared" si="5"/>
        <v>2850</v>
      </c>
      <c r="F22" s="119">
        <f t="shared" si="8"/>
        <v>0.66666666666666663</v>
      </c>
      <c r="G22" s="175">
        <f t="shared" si="6"/>
        <v>13.5</v>
      </c>
      <c r="H22" s="7">
        <f t="shared" si="7"/>
        <v>337.5</v>
      </c>
      <c r="I22" s="7">
        <f t="shared" si="7"/>
        <v>0</v>
      </c>
    </row>
    <row r="23" spans="1:9" x14ac:dyDescent="0.2">
      <c r="A23" s="2">
        <v>3.1</v>
      </c>
      <c r="B23" s="173">
        <f t="shared" si="2"/>
        <v>232.5</v>
      </c>
      <c r="C23" s="173">
        <f t="shared" si="3"/>
        <v>0</v>
      </c>
      <c r="D23" s="173">
        <f t="shared" si="4"/>
        <v>31</v>
      </c>
      <c r="E23" s="173">
        <f t="shared" si="5"/>
        <v>2945</v>
      </c>
      <c r="F23" s="119">
        <f t="shared" si="8"/>
        <v>0.64516129032258063</v>
      </c>
      <c r="G23" s="175">
        <f t="shared" si="6"/>
        <v>13.950000000000001</v>
      </c>
      <c r="H23" s="7">
        <f t="shared" si="7"/>
        <v>360.375</v>
      </c>
      <c r="I23" s="7">
        <f t="shared" si="7"/>
        <v>0</v>
      </c>
    </row>
    <row r="24" spans="1:9" x14ac:dyDescent="0.2">
      <c r="A24" s="2">
        <v>3.2</v>
      </c>
      <c r="B24" s="173">
        <f t="shared" si="2"/>
        <v>240</v>
      </c>
      <c r="C24" s="173">
        <f t="shared" si="3"/>
        <v>0</v>
      </c>
      <c r="D24" s="173">
        <f t="shared" si="4"/>
        <v>32</v>
      </c>
      <c r="E24" s="173">
        <f t="shared" si="5"/>
        <v>3040</v>
      </c>
      <c r="F24" s="119">
        <f t="shared" si="8"/>
        <v>0.625</v>
      </c>
      <c r="G24" s="175">
        <f t="shared" si="6"/>
        <v>14.4</v>
      </c>
      <c r="H24" s="7">
        <f t="shared" si="7"/>
        <v>384</v>
      </c>
      <c r="I24" s="7">
        <f t="shared" si="7"/>
        <v>0</v>
      </c>
    </row>
    <row r="25" spans="1:9" x14ac:dyDescent="0.2">
      <c r="A25" s="2">
        <v>3.3</v>
      </c>
      <c r="B25" s="173">
        <f t="shared" si="2"/>
        <v>247.5</v>
      </c>
      <c r="C25" s="173">
        <f t="shared" si="3"/>
        <v>0</v>
      </c>
      <c r="D25" s="173">
        <f t="shared" si="4"/>
        <v>33</v>
      </c>
      <c r="E25" s="173">
        <f t="shared" si="5"/>
        <v>3135</v>
      </c>
      <c r="F25" s="119">
        <f t="shared" si="8"/>
        <v>0.60606060606060608</v>
      </c>
      <c r="G25" s="175">
        <f t="shared" si="6"/>
        <v>14.85</v>
      </c>
      <c r="H25" s="7">
        <f t="shared" si="7"/>
        <v>408.375</v>
      </c>
      <c r="I25" s="7">
        <f t="shared" si="7"/>
        <v>0</v>
      </c>
    </row>
    <row r="26" spans="1:9" x14ac:dyDescent="0.2">
      <c r="A26" s="2">
        <v>3.4</v>
      </c>
      <c r="B26" s="173">
        <f t="shared" si="2"/>
        <v>255</v>
      </c>
      <c r="C26" s="173">
        <f t="shared" si="3"/>
        <v>0</v>
      </c>
      <c r="D26" s="173">
        <f t="shared" si="4"/>
        <v>34</v>
      </c>
      <c r="E26" s="173">
        <f t="shared" si="5"/>
        <v>3230</v>
      </c>
      <c r="F26" s="119">
        <f t="shared" si="8"/>
        <v>0.58823529411764708</v>
      </c>
      <c r="G26" s="175">
        <f t="shared" si="6"/>
        <v>15.299999999999999</v>
      </c>
      <c r="H26" s="7">
        <f t="shared" si="7"/>
        <v>433.5</v>
      </c>
      <c r="I26" s="7">
        <f t="shared" si="7"/>
        <v>0</v>
      </c>
    </row>
    <row r="27" spans="1:9" x14ac:dyDescent="0.2">
      <c r="A27" s="2">
        <v>3.5</v>
      </c>
      <c r="B27" s="173">
        <f t="shared" si="2"/>
        <v>262.5</v>
      </c>
      <c r="C27" s="173">
        <f t="shared" si="3"/>
        <v>0</v>
      </c>
      <c r="D27" s="173">
        <f t="shared" si="4"/>
        <v>35</v>
      </c>
      <c r="E27" s="173">
        <f t="shared" si="5"/>
        <v>3325</v>
      </c>
      <c r="F27" s="119">
        <f t="shared" si="8"/>
        <v>0.5714285714285714</v>
      </c>
      <c r="G27" s="175">
        <f t="shared" si="6"/>
        <v>15.75</v>
      </c>
      <c r="H27" s="7">
        <f t="shared" si="7"/>
        <v>459.375</v>
      </c>
      <c r="I27" s="7">
        <f t="shared" si="7"/>
        <v>0</v>
      </c>
    </row>
    <row r="28" spans="1:9" x14ac:dyDescent="0.2">
      <c r="A28" s="2">
        <v>3.6</v>
      </c>
      <c r="B28" s="173">
        <f t="shared" si="2"/>
        <v>270</v>
      </c>
      <c r="C28" s="173">
        <f t="shared" si="3"/>
        <v>0</v>
      </c>
      <c r="D28" s="173">
        <f t="shared" si="4"/>
        <v>36</v>
      </c>
      <c r="E28" s="173">
        <f t="shared" si="5"/>
        <v>3420</v>
      </c>
      <c r="F28" s="119">
        <f t="shared" si="8"/>
        <v>0.55555555555555558</v>
      </c>
      <c r="G28" s="175">
        <f t="shared" si="6"/>
        <v>16.2</v>
      </c>
      <c r="H28" s="7">
        <f t="shared" si="7"/>
        <v>486</v>
      </c>
      <c r="I28" s="7">
        <f t="shared" si="7"/>
        <v>0</v>
      </c>
    </row>
    <row r="29" spans="1:9" x14ac:dyDescent="0.2">
      <c r="A29" s="2">
        <v>3.7</v>
      </c>
      <c r="B29" s="173">
        <f t="shared" si="2"/>
        <v>277.5</v>
      </c>
      <c r="C29" s="173">
        <f t="shared" si="3"/>
        <v>0</v>
      </c>
      <c r="D29" s="173">
        <f t="shared" si="4"/>
        <v>37</v>
      </c>
      <c r="E29" s="173">
        <f t="shared" si="5"/>
        <v>3515</v>
      </c>
      <c r="F29" s="119">
        <f t="shared" si="8"/>
        <v>0.54054054054054046</v>
      </c>
      <c r="G29" s="175">
        <f t="shared" si="6"/>
        <v>16.650000000000002</v>
      </c>
      <c r="H29" s="7">
        <f t="shared" si="7"/>
        <v>513.37500000000011</v>
      </c>
      <c r="I29" s="7">
        <f t="shared" si="7"/>
        <v>0</v>
      </c>
    </row>
    <row r="30" spans="1:9" x14ac:dyDescent="0.2">
      <c r="A30" s="2">
        <v>3.8</v>
      </c>
      <c r="B30" s="173">
        <f t="shared" si="2"/>
        <v>285</v>
      </c>
      <c r="C30" s="173">
        <f t="shared" si="3"/>
        <v>0</v>
      </c>
      <c r="D30" s="173">
        <f t="shared" si="4"/>
        <v>38</v>
      </c>
      <c r="E30" s="173">
        <f t="shared" si="5"/>
        <v>3610</v>
      </c>
      <c r="F30" s="119">
        <f t="shared" si="8"/>
        <v>0.52631578947368418</v>
      </c>
      <c r="G30" s="175">
        <f t="shared" si="6"/>
        <v>17.099999999999998</v>
      </c>
      <c r="H30" s="7">
        <f t="shared" si="7"/>
        <v>541.5</v>
      </c>
      <c r="I30" s="7">
        <f t="shared" si="7"/>
        <v>0</v>
      </c>
    </row>
    <row r="31" spans="1:9" x14ac:dyDescent="0.2">
      <c r="A31" s="2">
        <v>3.9</v>
      </c>
      <c r="B31" s="173">
        <f t="shared" si="2"/>
        <v>292.5</v>
      </c>
      <c r="C31" s="173">
        <f t="shared" si="3"/>
        <v>0</v>
      </c>
      <c r="D31" s="173">
        <f t="shared" si="4"/>
        <v>39</v>
      </c>
      <c r="E31" s="173">
        <f t="shared" si="5"/>
        <v>3705</v>
      </c>
      <c r="F31" s="119">
        <f t="shared" si="8"/>
        <v>0.51282051282051289</v>
      </c>
      <c r="G31" s="175">
        <f t="shared" si="6"/>
        <v>17.55</v>
      </c>
      <c r="H31" s="7">
        <f t="shared" si="7"/>
        <v>570.37499999999989</v>
      </c>
      <c r="I31" s="7">
        <f t="shared" si="7"/>
        <v>0</v>
      </c>
    </row>
    <row r="32" spans="1:9" x14ac:dyDescent="0.2">
      <c r="A32" s="2">
        <v>4</v>
      </c>
      <c r="B32" s="173">
        <f t="shared" si="2"/>
        <v>300</v>
      </c>
      <c r="C32" s="173">
        <f t="shared" si="3"/>
        <v>0</v>
      </c>
      <c r="D32" s="173">
        <f t="shared" si="4"/>
        <v>40</v>
      </c>
      <c r="E32" s="173">
        <f t="shared" si="5"/>
        <v>3800</v>
      </c>
      <c r="F32" s="119">
        <f t="shared" si="8"/>
        <v>0.5</v>
      </c>
      <c r="G32" s="175">
        <f t="shared" si="6"/>
        <v>18</v>
      </c>
      <c r="H32" s="7">
        <f t="shared" si="7"/>
        <v>600</v>
      </c>
      <c r="I32" s="7">
        <f t="shared" si="7"/>
        <v>0</v>
      </c>
    </row>
  </sheetData>
  <phoneticPr fontId="1" type="noConversion"/>
  <pageMargins left="0.7" right="0.7" top="0.75" bottom="0.75" header="0.3" footer="0.3"/>
  <ignoredErrors>
    <ignoredError sqref="F2:F32" formula="1"/>
  </ignoredErrors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47"/>
  <sheetViews>
    <sheetView workbookViewId="0">
      <selection activeCell="H19" sqref="H19:H27"/>
    </sheetView>
  </sheetViews>
  <sheetFormatPr defaultRowHeight="11.25" x14ac:dyDescent="0.2"/>
  <cols>
    <col min="1" max="16384" width="9" style="1"/>
  </cols>
  <sheetData>
    <row r="1" spans="1:22" ht="12" thickBot="1" x14ac:dyDescent="0.25">
      <c r="A1" s="1">
        <v>0</v>
      </c>
      <c r="B1" s="1" t="s">
        <v>339</v>
      </c>
      <c r="C1" s="1" t="s">
        <v>341</v>
      </c>
      <c r="D1" s="1" t="s">
        <v>147</v>
      </c>
      <c r="E1" s="1" t="s">
        <v>149</v>
      </c>
      <c r="F1" s="1" t="s">
        <v>379</v>
      </c>
      <c r="G1" s="178" t="s">
        <v>151</v>
      </c>
      <c r="H1" s="1" t="s">
        <v>380</v>
      </c>
      <c r="I1" s="1" t="s">
        <v>381</v>
      </c>
      <c r="J1" s="1" t="s">
        <v>8</v>
      </c>
      <c r="K1" s="27" t="s">
        <v>42</v>
      </c>
      <c r="L1" s="27" t="s">
        <v>9</v>
      </c>
      <c r="M1" s="63" t="s">
        <v>12</v>
      </c>
      <c r="N1" s="1" t="s">
        <v>46</v>
      </c>
      <c r="O1" s="1" t="s">
        <v>78</v>
      </c>
      <c r="P1" s="1" t="s">
        <v>79</v>
      </c>
      <c r="Q1" s="1" t="s">
        <v>378</v>
      </c>
    </row>
    <row r="2" spans="1:22" s="185" customFormat="1" x14ac:dyDescent="0.2">
      <c r="A2" s="185" t="s">
        <v>68</v>
      </c>
      <c r="B2" s="185">
        <f>유닛스탯!C3</f>
        <v>75</v>
      </c>
      <c r="C2" s="185">
        <f>유닛스탯!D3</f>
        <v>0</v>
      </c>
      <c r="D2" s="185">
        <f>유닛스탯!E3</f>
        <v>10</v>
      </c>
      <c r="E2" s="185">
        <f>유닛스탯!F3</f>
        <v>950</v>
      </c>
      <c r="F2" s="185">
        <f>유닛스탯!G3</f>
        <v>2</v>
      </c>
      <c r="G2" s="185">
        <f>유닛스탯!H3</f>
        <v>4.5</v>
      </c>
      <c r="H2" s="185" t="s">
        <v>382</v>
      </c>
      <c r="I2" s="185" t="s">
        <v>383</v>
      </c>
      <c r="J2" s="186">
        <v>5</v>
      </c>
      <c r="K2" s="187">
        <f>(B2/F2)*J2</f>
        <v>187.5</v>
      </c>
      <c r="L2" s="186">
        <f>J2*B2</f>
        <v>375</v>
      </c>
      <c r="M2" s="188">
        <f>J2*(E2*Q2)</f>
        <v>4750</v>
      </c>
      <c r="N2" s="186">
        <f t="shared" ref="N2:N10" si="0">B2/F2</f>
        <v>37.5</v>
      </c>
      <c r="O2" s="189">
        <f>E2/B2</f>
        <v>12.666666666666666</v>
      </c>
      <c r="P2" s="189">
        <f>O2*F2</f>
        <v>25.333333333333332</v>
      </c>
      <c r="Q2" s="185">
        <v>1</v>
      </c>
    </row>
    <row r="3" spans="1:22" s="14" customFormat="1" x14ac:dyDescent="0.2">
      <c r="A3" s="14" t="s">
        <v>71</v>
      </c>
      <c r="B3" s="14">
        <f>유닛스탯!C4</f>
        <v>10</v>
      </c>
      <c r="C3" s="14">
        <f>유닛스탯!D4</f>
        <v>145</v>
      </c>
      <c r="D3" s="14">
        <f>유닛스탯!E4</f>
        <v>3</v>
      </c>
      <c r="E3" s="14">
        <f>유닛스탯!F4</f>
        <v>250</v>
      </c>
      <c r="F3" s="14">
        <f>유닛스탯!G4</f>
        <v>3</v>
      </c>
      <c r="G3" s="178">
        <f>유닛스탯!H4</f>
        <v>5</v>
      </c>
      <c r="H3" s="14" t="s">
        <v>382</v>
      </c>
      <c r="I3" s="14" t="s">
        <v>384</v>
      </c>
      <c r="J3" s="12">
        <v>20</v>
      </c>
      <c r="K3" s="74">
        <f>((J3*Q3)*C3)/F3</f>
        <v>966.66666666666663</v>
      </c>
      <c r="L3" s="28">
        <f>J3*C3</f>
        <v>2900</v>
      </c>
      <c r="M3" s="58">
        <f t="shared" ref="M3:M10" si="1">J3*(E3*Q3)</f>
        <v>5000</v>
      </c>
      <c r="N3" s="16">
        <f t="shared" si="0"/>
        <v>3.3333333333333335</v>
      </c>
      <c r="O3" s="67">
        <f t="shared" ref="O3:O10" si="2">E3/B3</f>
        <v>25</v>
      </c>
      <c r="P3" s="67">
        <f t="shared" ref="P3:P10" si="3">O3*F3</f>
        <v>75</v>
      </c>
      <c r="Q3" s="14">
        <v>1</v>
      </c>
    </row>
    <row r="4" spans="1:22" s="17" customFormat="1" x14ac:dyDescent="0.2">
      <c r="A4" s="17" t="s">
        <v>72</v>
      </c>
      <c r="B4" s="17">
        <f>유닛스탯!C5</f>
        <v>110</v>
      </c>
      <c r="C4" s="17">
        <f>유닛스탯!D5</f>
        <v>0</v>
      </c>
      <c r="D4" s="17">
        <f>유닛스탯!E5</f>
        <v>6</v>
      </c>
      <c r="E4" s="17">
        <f>유닛스탯!F5</f>
        <v>400</v>
      </c>
      <c r="F4" s="17">
        <f>유닛스탯!G5</f>
        <v>2.6</v>
      </c>
      <c r="G4" s="179">
        <f>유닛스탯!H5</f>
        <v>8</v>
      </c>
      <c r="H4" s="17" t="s">
        <v>382</v>
      </c>
      <c r="I4" s="17" t="s">
        <v>385</v>
      </c>
      <c r="J4" s="12">
        <v>20</v>
      </c>
      <c r="K4" s="73">
        <f>((B4*Q4)/F4)*J4</f>
        <v>846.15384615384619</v>
      </c>
      <c r="L4" s="59">
        <f>J4*B4</f>
        <v>2200</v>
      </c>
      <c r="M4" s="60">
        <f t="shared" si="1"/>
        <v>8000</v>
      </c>
      <c r="N4" s="16">
        <f t="shared" si="0"/>
        <v>42.307692307692307</v>
      </c>
      <c r="O4" s="67">
        <f t="shared" si="2"/>
        <v>3.6363636363636362</v>
      </c>
      <c r="P4" s="67">
        <f t="shared" si="3"/>
        <v>9.454545454545455</v>
      </c>
      <c r="Q4" s="14">
        <v>1</v>
      </c>
    </row>
    <row r="5" spans="1:22" s="14" customFormat="1" x14ac:dyDescent="0.2">
      <c r="A5" s="14" t="s">
        <v>69</v>
      </c>
      <c r="B5" s="14">
        <f>유닛스탯!C6</f>
        <v>353.25</v>
      </c>
      <c r="C5" s="14">
        <f>유닛스탯!D6</f>
        <v>0</v>
      </c>
      <c r="D5" s="14">
        <f>유닛스탯!E6</f>
        <v>8</v>
      </c>
      <c r="E5" s="14">
        <v>8600</v>
      </c>
      <c r="F5" s="14">
        <f>유닛스탯!G6</f>
        <v>2.4</v>
      </c>
      <c r="G5" s="178">
        <f>유닛스탯!H6</f>
        <v>5.0999999999999996</v>
      </c>
      <c r="H5" s="14" t="s">
        <v>386</v>
      </c>
      <c r="I5" s="14" t="s">
        <v>383</v>
      </c>
      <c r="J5" s="12">
        <v>1</v>
      </c>
      <c r="K5" s="73">
        <f t="shared" ref="K5" si="4">((B5*Q5)/F5)*J5</f>
        <v>147.1875</v>
      </c>
      <c r="L5" s="61">
        <f>J5*B5</f>
        <v>353.25</v>
      </c>
      <c r="M5" s="64">
        <f t="shared" si="1"/>
        <v>8600</v>
      </c>
      <c r="N5" s="16">
        <f t="shared" si="0"/>
        <v>147.1875</v>
      </c>
      <c r="O5" s="67">
        <f t="shared" si="2"/>
        <v>24.345364472753008</v>
      </c>
      <c r="P5" s="67">
        <f t="shared" si="3"/>
        <v>58.42887473460722</v>
      </c>
      <c r="Q5" s="14">
        <v>1</v>
      </c>
    </row>
    <row r="6" spans="1:22" s="14" customFormat="1" x14ac:dyDescent="0.2">
      <c r="A6" s="14" t="s">
        <v>73</v>
      </c>
      <c r="B6" s="14">
        <f>유닛스탯!C7</f>
        <v>100</v>
      </c>
      <c r="C6" s="14">
        <f>유닛스탯!D7</f>
        <v>400</v>
      </c>
      <c r="D6" s="14">
        <f>유닛스탯!E7</f>
        <v>5</v>
      </c>
      <c r="E6" s="14">
        <f>유닛스탯!F7</f>
        <v>1500</v>
      </c>
      <c r="F6" s="14">
        <f>유닛스탯!G7</f>
        <v>2.6</v>
      </c>
      <c r="G6" s="178">
        <f>유닛스탯!H7</f>
        <v>6</v>
      </c>
      <c r="H6" s="14" t="s">
        <v>386</v>
      </c>
      <c r="I6" s="14" t="s">
        <v>384</v>
      </c>
      <c r="J6" s="16">
        <v>4</v>
      </c>
      <c r="K6" s="74">
        <f t="shared" ref="K6" si="5">((J6*Q6)*C6)/F6</f>
        <v>615.38461538461536</v>
      </c>
      <c r="L6" s="28">
        <f>J6*C6</f>
        <v>1600</v>
      </c>
      <c r="M6" s="58">
        <f t="shared" si="1"/>
        <v>6000</v>
      </c>
      <c r="N6" s="16">
        <f t="shared" si="0"/>
        <v>38.46153846153846</v>
      </c>
      <c r="O6" s="67">
        <f t="shared" si="2"/>
        <v>15</v>
      </c>
      <c r="P6" s="67">
        <f t="shared" si="3"/>
        <v>39</v>
      </c>
      <c r="Q6" s="14">
        <v>1</v>
      </c>
    </row>
    <row r="7" spans="1:22" s="14" customFormat="1" x14ac:dyDescent="0.2">
      <c r="A7" s="14" t="s">
        <v>74</v>
      </c>
      <c r="B7" s="14">
        <f>유닛스탯!C8</f>
        <v>485</v>
      </c>
      <c r="C7" s="14">
        <f>유닛스탯!D8</f>
        <v>0</v>
      </c>
      <c r="D7" s="14">
        <f>유닛스탯!E8</f>
        <v>5</v>
      </c>
      <c r="E7" s="14">
        <f>유닛스탯!F8</f>
        <v>1650</v>
      </c>
      <c r="F7" s="14">
        <f>유닛스탯!G8</f>
        <v>2.2000000000000002</v>
      </c>
      <c r="G7" s="178">
        <f>유닛스탯!H8</f>
        <v>7</v>
      </c>
      <c r="H7" s="14" t="s">
        <v>386</v>
      </c>
      <c r="I7" s="14" t="s">
        <v>385</v>
      </c>
      <c r="J7" s="20">
        <v>4</v>
      </c>
      <c r="K7" s="26">
        <f t="shared" ref="K7:K8" si="6">((B7*Q7)/F7)*J7</f>
        <v>881.81818181818176</v>
      </c>
      <c r="L7" s="59">
        <f>J7*B7</f>
        <v>1940</v>
      </c>
      <c r="M7" s="60">
        <f t="shared" si="1"/>
        <v>6600</v>
      </c>
      <c r="N7" s="16">
        <f t="shared" si="0"/>
        <v>220.45454545454544</v>
      </c>
      <c r="O7" s="67">
        <f t="shared" si="2"/>
        <v>3.402061855670103</v>
      </c>
      <c r="P7" s="67">
        <f t="shared" si="3"/>
        <v>7.4845360824742269</v>
      </c>
      <c r="Q7" s="14">
        <v>1</v>
      </c>
    </row>
    <row r="8" spans="1:22" s="9" customFormat="1" x14ac:dyDescent="0.2">
      <c r="A8" s="9" t="s">
        <v>326</v>
      </c>
      <c r="B8" s="9">
        <v>1350</v>
      </c>
      <c r="C8" s="9">
        <f>유닛스탯!D9</f>
        <v>0</v>
      </c>
      <c r="D8" s="9">
        <f>유닛스탯!E9</f>
        <v>15</v>
      </c>
      <c r="E8" s="9">
        <f>유닛스탯!F9</f>
        <v>20000</v>
      </c>
      <c r="F8" s="9">
        <f>유닛스탯!G9</f>
        <v>4</v>
      </c>
      <c r="G8" s="177">
        <f>유닛스탯!H9</f>
        <v>2.25</v>
      </c>
      <c r="H8" s="9" t="s">
        <v>387</v>
      </c>
      <c r="I8" s="9" t="s">
        <v>383</v>
      </c>
      <c r="J8" s="12">
        <v>1</v>
      </c>
      <c r="K8" s="73">
        <f t="shared" si="6"/>
        <v>337.5</v>
      </c>
      <c r="L8" s="61">
        <f>J8*B8</f>
        <v>1350</v>
      </c>
      <c r="M8" s="62">
        <f t="shared" si="1"/>
        <v>20000</v>
      </c>
      <c r="N8" s="16">
        <f t="shared" si="0"/>
        <v>337.5</v>
      </c>
      <c r="O8" s="67">
        <f t="shared" si="2"/>
        <v>14.814814814814815</v>
      </c>
      <c r="P8" s="67">
        <f t="shared" si="3"/>
        <v>59.25925925925926</v>
      </c>
      <c r="Q8" s="14">
        <v>1</v>
      </c>
    </row>
    <row r="9" spans="1:22" s="14" customFormat="1" x14ac:dyDescent="0.2">
      <c r="A9" s="14" t="s">
        <v>388</v>
      </c>
      <c r="B9" s="14">
        <f>유닛스탯!C10</f>
        <v>200</v>
      </c>
      <c r="C9" s="14">
        <f>유닛스탯!D10</f>
        <v>1625</v>
      </c>
      <c r="D9" s="14">
        <f>유닛스탯!E10</f>
        <v>7</v>
      </c>
      <c r="E9" s="14">
        <f>유닛스탯!F10</f>
        <v>5500</v>
      </c>
      <c r="F9" s="14">
        <f>유닛스탯!G10</f>
        <v>3.6</v>
      </c>
      <c r="G9" s="178">
        <f>유닛스탯!H10</f>
        <v>3</v>
      </c>
      <c r="H9" s="14" t="s">
        <v>387</v>
      </c>
      <c r="I9" s="14" t="s">
        <v>384</v>
      </c>
      <c r="J9" s="16">
        <v>1</v>
      </c>
      <c r="K9" s="74">
        <f t="shared" ref="K9" si="7">((J9*Q9)*C9)/F9</f>
        <v>451.38888888888886</v>
      </c>
      <c r="L9" s="28">
        <f>J9*C9</f>
        <v>1625</v>
      </c>
      <c r="M9" s="58">
        <f t="shared" si="1"/>
        <v>5500</v>
      </c>
      <c r="N9" s="16">
        <f t="shared" si="0"/>
        <v>55.555555555555557</v>
      </c>
      <c r="O9" s="67">
        <f t="shared" si="2"/>
        <v>27.5</v>
      </c>
      <c r="P9" s="67">
        <f t="shared" si="3"/>
        <v>99</v>
      </c>
      <c r="Q9" s="14">
        <v>1</v>
      </c>
    </row>
    <row r="10" spans="1:22" s="190" customFormat="1" ht="12" thickBot="1" x14ac:dyDescent="0.25">
      <c r="A10" s="190" t="s">
        <v>389</v>
      </c>
      <c r="B10" s="190">
        <f>유닛스탯!C11</f>
        <v>1925</v>
      </c>
      <c r="C10" s="190">
        <f>유닛스탯!D11</f>
        <v>0</v>
      </c>
      <c r="D10" s="190">
        <f>유닛스탯!E11</f>
        <v>6</v>
      </c>
      <c r="E10" s="190">
        <f>유닛스탯!F11</f>
        <v>7000</v>
      </c>
      <c r="F10" s="190">
        <f>유닛스탯!G11</f>
        <v>4.8</v>
      </c>
      <c r="G10" s="191">
        <f>유닛스탯!H11</f>
        <v>10</v>
      </c>
      <c r="H10" s="190" t="s">
        <v>387</v>
      </c>
      <c r="I10" s="190" t="s">
        <v>385</v>
      </c>
      <c r="J10" s="192">
        <v>1</v>
      </c>
      <c r="K10" s="193">
        <f t="shared" ref="K10" si="8">((B10*Q10)/F10)*J10</f>
        <v>401.04166666666669</v>
      </c>
      <c r="L10" s="193">
        <f>J10*B10</f>
        <v>1925</v>
      </c>
      <c r="M10" s="194">
        <f t="shared" si="1"/>
        <v>7000</v>
      </c>
      <c r="N10" s="192">
        <f t="shared" si="0"/>
        <v>401.04166666666669</v>
      </c>
      <c r="O10" s="195">
        <f t="shared" si="2"/>
        <v>3.6363636363636362</v>
      </c>
      <c r="P10" s="195">
        <f t="shared" si="3"/>
        <v>17.454545454545453</v>
      </c>
      <c r="Q10" s="190">
        <v>1</v>
      </c>
    </row>
    <row r="11" spans="1:22" x14ac:dyDescent="0.2">
      <c r="A11" s="1" t="s">
        <v>398</v>
      </c>
      <c r="B11" s="1" t="s">
        <v>397</v>
      </c>
      <c r="C11" s="1" t="s">
        <v>4</v>
      </c>
      <c r="D11" s="1" t="s">
        <v>265</v>
      </c>
      <c r="E11" s="1" t="s">
        <v>425</v>
      </c>
      <c r="F11" s="1" t="s">
        <v>428</v>
      </c>
      <c r="G11" s="1" t="s">
        <v>426</v>
      </c>
      <c r="J11" s="176"/>
      <c r="K11" s="1" t="s">
        <v>394</v>
      </c>
      <c r="L11" s="1" t="s">
        <v>395</v>
      </c>
      <c r="M11" s="1" t="s">
        <v>396</v>
      </c>
    </row>
    <row r="12" spans="1:22" x14ac:dyDescent="0.2">
      <c r="A12" s="1">
        <v>1</v>
      </c>
      <c r="B12" s="1">
        <f>B$8*$Q15</f>
        <v>337.5</v>
      </c>
      <c r="C12" s="1">
        <f>E$8*$Q15</f>
        <v>5000</v>
      </c>
      <c r="D12" s="1">
        <f>C27*0.5</f>
        <v>10000</v>
      </c>
      <c r="E12" s="1">
        <f>C12+D12</f>
        <v>15000</v>
      </c>
      <c r="F12" s="1">
        <f>E2*10</f>
        <v>9500</v>
      </c>
      <c r="G12" s="7">
        <f>M2+F12</f>
        <v>14250</v>
      </c>
      <c r="H12" s="1">
        <f>E12/G12</f>
        <v>1.0526315789473684</v>
      </c>
      <c r="I12" s="1">
        <f>M8/38000</f>
        <v>0.52631578947368418</v>
      </c>
      <c r="J12" s="1">
        <v>1</v>
      </c>
      <c r="K12" s="196">
        <f>(B12/$F$8)</f>
        <v>84.375</v>
      </c>
      <c r="L12" s="1">
        <f t="shared" ref="L12:L27" si="9">(B$2/F$2)*V15</f>
        <v>187.5</v>
      </c>
      <c r="M12" s="69">
        <f>SUM(R32:U32)/$F$5</f>
        <v>147.1875</v>
      </c>
      <c r="N12" s="1">
        <f>K12/L12</f>
        <v>0.45</v>
      </c>
      <c r="O12" s="1">
        <f>M12/L12</f>
        <v>0.78500000000000003</v>
      </c>
      <c r="P12" s="1">
        <v>1</v>
      </c>
    </row>
    <row r="13" spans="1:22" x14ac:dyDescent="0.2">
      <c r="A13" s="1">
        <v>2</v>
      </c>
      <c r="B13" s="1">
        <f t="shared" ref="B13:B27" si="10">B$8*Q16</f>
        <v>405</v>
      </c>
      <c r="C13" s="1">
        <f t="shared" ref="C13:C27" si="11">E$8*$Q16</f>
        <v>6000</v>
      </c>
      <c r="F13" s="1" t="s">
        <v>427</v>
      </c>
      <c r="J13" s="1">
        <v>2</v>
      </c>
      <c r="K13" s="3">
        <f t="shared" ref="K13:K27" si="12">(B13/$F$8)</f>
        <v>101.25</v>
      </c>
      <c r="L13" s="1">
        <f t="shared" si="9"/>
        <v>225</v>
      </c>
      <c r="M13" s="69">
        <f t="shared" ref="M13:M27" si="13">SUM(R33:U33)/$F$5</f>
        <v>176.625</v>
      </c>
      <c r="N13" s="1">
        <f t="shared" ref="N13:N27" si="14">K13/L13</f>
        <v>0.45</v>
      </c>
      <c r="O13" s="1">
        <f t="shared" ref="O13:O27" si="15">M13/L13</f>
        <v>0.78500000000000003</v>
      </c>
      <c r="Q13" s="1" t="s">
        <v>390</v>
      </c>
    </row>
    <row r="14" spans="1:22" x14ac:dyDescent="0.2">
      <c r="A14" s="1">
        <v>3</v>
      </c>
      <c r="B14" s="1">
        <f t="shared" si="10"/>
        <v>472.49999999999994</v>
      </c>
      <c r="C14" s="1">
        <f t="shared" si="11"/>
        <v>7000</v>
      </c>
      <c r="F14" s="7">
        <f>M5+E5*2</f>
        <v>25800</v>
      </c>
      <c r="J14" s="1">
        <v>3</v>
      </c>
      <c r="K14" s="3">
        <f t="shared" si="12"/>
        <v>118.12499999999999</v>
      </c>
      <c r="L14" s="1">
        <f t="shared" si="9"/>
        <v>262.5</v>
      </c>
      <c r="M14" s="69">
        <f t="shared" si="13"/>
        <v>206.0625</v>
      </c>
      <c r="N14" s="1">
        <f t="shared" si="14"/>
        <v>0.44999999999999996</v>
      </c>
      <c r="O14" s="1">
        <f t="shared" si="15"/>
        <v>0.78500000000000003</v>
      </c>
      <c r="Q14" s="1" t="s">
        <v>391</v>
      </c>
      <c r="R14" s="1" t="s">
        <v>393</v>
      </c>
      <c r="V14" s="1" t="s">
        <v>392</v>
      </c>
    </row>
    <row r="15" spans="1:22" x14ac:dyDescent="0.2">
      <c r="A15" s="1">
        <v>4</v>
      </c>
      <c r="B15" s="1">
        <f t="shared" si="10"/>
        <v>540</v>
      </c>
      <c r="C15" s="1">
        <f t="shared" si="11"/>
        <v>8000</v>
      </c>
      <c r="J15" s="1">
        <v>4</v>
      </c>
      <c r="K15" s="3">
        <f t="shared" si="12"/>
        <v>135</v>
      </c>
      <c r="L15" s="1">
        <f t="shared" si="9"/>
        <v>300</v>
      </c>
      <c r="M15" s="69">
        <f t="shared" si="13"/>
        <v>235.50000000000003</v>
      </c>
      <c r="N15" s="1">
        <f t="shared" si="14"/>
        <v>0.45</v>
      </c>
      <c r="O15" s="1">
        <f t="shared" si="15"/>
        <v>0.78500000000000014</v>
      </c>
      <c r="P15" s="1">
        <v>1</v>
      </c>
      <c r="Q15" s="119">
        <v>0.25</v>
      </c>
      <c r="R15" s="1">
        <v>1</v>
      </c>
      <c r="S15" s="1">
        <v>0</v>
      </c>
      <c r="T15" s="1">
        <v>0</v>
      </c>
      <c r="U15" s="1">
        <v>0</v>
      </c>
      <c r="V15" s="1">
        <v>5</v>
      </c>
    </row>
    <row r="16" spans="1:22" x14ac:dyDescent="0.2">
      <c r="A16" s="1">
        <v>5</v>
      </c>
      <c r="B16" s="1">
        <f t="shared" si="10"/>
        <v>607.5</v>
      </c>
      <c r="C16" s="1">
        <f t="shared" si="11"/>
        <v>9000</v>
      </c>
      <c r="J16" s="1">
        <v>5</v>
      </c>
      <c r="K16" s="3">
        <f t="shared" si="12"/>
        <v>151.875</v>
      </c>
      <c r="L16" s="1">
        <f t="shared" si="9"/>
        <v>337.5</v>
      </c>
      <c r="M16" s="69">
        <f t="shared" si="13"/>
        <v>264.9375</v>
      </c>
      <c r="N16" s="1">
        <f t="shared" si="14"/>
        <v>0.45</v>
      </c>
      <c r="O16" s="1">
        <f t="shared" si="15"/>
        <v>0.78500000000000003</v>
      </c>
      <c r="P16" s="1">
        <v>2</v>
      </c>
      <c r="Q16" s="119">
        <v>0.3</v>
      </c>
      <c r="R16" s="1">
        <v>1.2</v>
      </c>
      <c r="S16" s="1">
        <v>0</v>
      </c>
      <c r="T16" s="1">
        <v>0</v>
      </c>
      <c r="U16" s="1">
        <v>0</v>
      </c>
      <c r="V16" s="1">
        <v>6</v>
      </c>
    </row>
    <row r="17" spans="1:22" x14ac:dyDescent="0.2">
      <c r="A17" s="1">
        <v>6</v>
      </c>
      <c r="B17" s="1">
        <f t="shared" si="10"/>
        <v>675</v>
      </c>
      <c r="C17" s="1">
        <f t="shared" si="11"/>
        <v>10000</v>
      </c>
      <c r="J17" s="1">
        <v>6</v>
      </c>
      <c r="K17" s="3">
        <f t="shared" si="12"/>
        <v>168.75</v>
      </c>
      <c r="L17" s="1">
        <f t="shared" si="9"/>
        <v>375</v>
      </c>
      <c r="M17" s="69">
        <f t="shared" si="13"/>
        <v>294.375</v>
      </c>
      <c r="N17" s="1">
        <f t="shared" si="14"/>
        <v>0.45</v>
      </c>
      <c r="O17" s="1">
        <f t="shared" si="15"/>
        <v>0.78500000000000003</v>
      </c>
      <c r="P17" s="1">
        <v>3</v>
      </c>
      <c r="Q17" s="119">
        <v>0.35</v>
      </c>
      <c r="R17" s="1">
        <v>1.4</v>
      </c>
      <c r="S17" s="1">
        <v>0</v>
      </c>
      <c r="T17" s="1">
        <v>0</v>
      </c>
      <c r="U17" s="1">
        <v>0</v>
      </c>
      <c r="V17" s="1">
        <v>7</v>
      </c>
    </row>
    <row r="18" spans="1:22" x14ac:dyDescent="0.2">
      <c r="A18" s="1">
        <v>7</v>
      </c>
      <c r="B18" s="1">
        <f t="shared" si="10"/>
        <v>742.50000000000011</v>
      </c>
      <c r="C18" s="1">
        <f t="shared" si="11"/>
        <v>11000</v>
      </c>
      <c r="J18" s="1">
        <v>7</v>
      </c>
      <c r="K18" s="3">
        <f t="shared" si="12"/>
        <v>185.62500000000003</v>
      </c>
      <c r="L18" s="1">
        <f t="shared" si="9"/>
        <v>412.5</v>
      </c>
      <c r="M18" s="69">
        <f t="shared" si="13"/>
        <v>323.8125</v>
      </c>
      <c r="N18" s="1">
        <f t="shared" si="14"/>
        <v>0.45000000000000007</v>
      </c>
      <c r="O18" s="1">
        <f t="shared" si="15"/>
        <v>0.78500000000000003</v>
      </c>
      <c r="P18" s="1">
        <v>4</v>
      </c>
      <c r="Q18" s="119">
        <v>0.4</v>
      </c>
      <c r="R18" s="1">
        <v>1.6</v>
      </c>
      <c r="S18" s="1">
        <v>0</v>
      </c>
      <c r="T18" s="1">
        <v>0</v>
      </c>
      <c r="U18" s="1">
        <v>0</v>
      </c>
      <c r="V18" s="1">
        <v>8</v>
      </c>
    </row>
    <row r="19" spans="1:22" x14ac:dyDescent="0.2">
      <c r="A19" s="1">
        <v>8</v>
      </c>
      <c r="B19" s="1">
        <f t="shared" si="10"/>
        <v>810.00000000000011</v>
      </c>
      <c r="C19" s="1">
        <f t="shared" si="11"/>
        <v>12000.000000000002</v>
      </c>
      <c r="H19" s="1">
        <f>E2/2</f>
        <v>475</v>
      </c>
      <c r="J19" s="1">
        <v>8</v>
      </c>
      <c r="K19" s="3">
        <f t="shared" si="12"/>
        <v>202.50000000000003</v>
      </c>
      <c r="L19" s="1">
        <f t="shared" si="9"/>
        <v>450</v>
      </c>
      <c r="M19" s="69">
        <f t="shared" si="13"/>
        <v>353.25</v>
      </c>
      <c r="N19" s="1">
        <f t="shared" si="14"/>
        <v>0.45000000000000007</v>
      </c>
      <c r="O19" s="1">
        <f t="shared" si="15"/>
        <v>0.78500000000000003</v>
      </c>
      <c r="P19" s="1">
        <v>5</v>
      </c>
      <c r="Q19" s="119">
        <v>0.45</v>
      </c>
      <c r="R19" s="1">
        <v>1</v>
      </c>
      <c r="S19" s="1">
        <v>0.8</v>
      </c>
      <c r="T19" s="1">
        <v>0</v>
      </c>
      <c r="U19" s="1">
        <v>0</v>
      </c>
      <c r="V19" s="1">
        <v>9</v>
      </c>
    </row>
    <row r="20" spans="1:22" x14ac:dyDescent="0.2">
      <c r="A20" s="1">
        <v>9</v>
      </c>
      <c r="B20" s="1">
        <f t="shared" si="10"/>
        <v>877.5</v>
      </c>
      <c r="C20" s="1">
        <f t="shared" si="11"/>
        <v>13000</v>
      </c>
      <c r="H20" s="1">
        <f t="shared" ref="H20:H27" si="16">E3/2</f>
        <v>125</v>
      </c>
      <c r="J20" s="1">
        <v>9</v>
      </c>
      <c r="K20" s="3">
        <f t="shared" si="12"/>
        <v>219.375</v>
      </c>
      <c r="L20" s="1">
        <f t="shared" si="9"/>
        <v>487.5</v>
      </c>
      <c r="M20" s="69">
        <f t="shared" si="13"/>
        <v>382.68750000000006</v>
      </c>
      <c r="N20" s="1">
        <f t="shared" si="14"/>
        <v>0.45</v>
      </c>
      <c r="O20" s="1">
        <f t="shared" si="15"/>
        <v>0.78500000000000014</v>
      </c>
      <c r="P20" s="1">
        <v>6</v>
      </c>
      <c r="Q20" s="119">
        <v>0.5</v>
      </c>
      <c r="R20" s="1">
        <v>1</v>
      </c>
      <c r="S20" s="1">
        <v>1</v>
      </c>
      <c r="T20" s="1">
        <v>0</v>
      </c>
      <c r="U20" s="1">
        <v>0</v>
      </c>
      <c r="V20" s="1">
        <v>10</v>
      </c>
    </row>
    <row r="21" spans="1:22" x14ac:dyDescent="0.2">
      <c r="A21" s="1">
        <v>10</v>
      </c>
      <c r="B21" s="1">
        <f t="shared" si="10"/>
        <v>944.99999999999989</v>
      </c>
      <c r="C21" s="1">
        <f t="shared" si="11"/>
        <v>14000</v>
      </c>
      <c r="H21" s="1">
        <f t="shared" si="16"/>
        <v>200</v>
      </c>
      <c r="J21" s="1">
        <v>10</v>
      </c>
      <c r="K21" s="3">
        <f t="shared" si="12"/>
        <v>236.24999999999997</v>
      </c>
      <c r="L21" s="1">
        <f t="shared" si="9"/>
        <v>525</v>
      </c>
      <c r="M21" s="69">
        <f t="shared" si="13"/>
        <v>412.125</v>
      </c>
      <c r="N21" s="1">
        <f t="shared" si="14"/>
        <v>0.44999999999999996</v>
      </c>
      <c r="O21" s="1">
        <f t="shared" si="15"/>
        <v>0.78500000000000003</v>
      </c>
      <c r="P21" s="1">
        <v>7</v>
      </c>
      <c r="Q21" s="119">
        <v>0.55000000000000004</v>
      </c>
      <c r="R21" s="1">
        <v>1</v>
      </c>
      <c r="S21" s="1">
        <v>1.2</v>
      </c>
      <c r="T21" s="1">
        <v>0</v>
      </c>
      <c r="U21" s="1">
        <v>0</v>
      </c>
      <c r="V21" s="1">
        <v>11</v>
      </c>
    </row>
    <row r="22" spans="1:22" x14ac:dyDescent="0.2">
      <c r="A22" s="1">
        <v>11</v>
      </c>
      <c r="B22" s="1">
        <f t="shared" si="10"/>
        <v>1012.5</v>
      </c>
      <c r="C22" s="1">
        <f t="shared" si="11"/>
        <v>15000</v>
      </c>
      <c r="H22" s="1">
        <f t="shared" si="16"/>
        <v>4300</v>
      </c>
      <c r="J22" s="1">
        <v>11</v>
      </c>
      <c r="K22" s="3">
        <f t="shared" si="12"/>
        <v>253.125</v>
      </c>
      <c r="L22" s="1">
        <f t="shared" si="9"/>
        <v>562.5</v>
      </c>
      <c r="M22" s="69">
        <f t="shared" si="13"/>
        <v>441.5625</v>
      </c>
      <c r="N22" s="1">
        <f t="shared" si="14"/>
        <v>0.45</v>
      </c>
      <c r="O22" s="1">
        <f t="shared" si="15"/>
        <v>0.78500000000000003</v>
      </c>
      <c r="P22" s="1">
        <v>8</v>
      </c>
      <c r="Q22" s="119">
        <v>0.60000000000000009</v>
      </c>
      <c r="R22" s="1">
        <v>1</v>
      </c>
      <c r="S22" s="1">
        <v>1.4</v>
      </c>
      <c r="T22" s="1">
        <v>0</v>
      </c>
      <c r="U22" s="1">
        <v>0</v>
      </c>
      <c r="V22" s="1">
        <v>12</v>
      </c>
    </row>
    <row r="23" spans="1:22" x14ac:dyDescent="0.2">
      <c r="A23" s="1">
        <v>12</v>
      </c>
      <c r="B23" s="1">
        <f t="shared" si="10"/>
        <v>1080</v>
      </c>
      <c r="C23" s="1">
        <f t="shared" si="11"/>
        <v>16000</v>
      </c>
      <c r="H23" s="1">
        <f t="shared" si="16"/>
        <v>750</v>
      </c>
      <c r="J23" s="1">
        <v>12</v>
      </c>
      <c r="K23" s="3">
        <f t="shared" si="12"/>
        <v>270</v>
      </c>
      <c r="L23" s="1">
        <f t="shared" si="9"/>
        <v>600</v>
      </c>
      <c r="M23" s="69">
        <f t="shared" si="13"/>
        <v>471.00000000000006</v>
      </c>
      <c r="N23" s="1">
        <f t="shared" si="14"/>
        <v>0.45</v>
      </c>
      <c r="O23" s="1">
        <f t="shared" si="15"/>
        <v>0.78500000000000014</v>
      </c>
      <c r="P23" s="1">
        <v>9</v>
      </c>
      <c r="Q23" s="119">
        <v>0.65</v>
      </c>
      <c r="R23" s="1">
        <v>1</v>
      </c>
      <c r="S23" s="1">
        <v>1</v>
      </c>
      <c r="T23" s="1">
        <v>0.6</v>
      </c>
      <c r="U23" s="1">
        <v>0</v>
      </c>
      <c r="V23" s="1">
        <v>13</v>
      </c>
    </row>
    <row r="24" spans="1:22" x14ac:dyDescent="0.2">
      <c r="A24" s="1">
        <v>13</v>
      </c>
      <c r="B24" s="1">
        <f t="shared" si="10"/>
        <v>1147.5000000000002</v>
      </c>
      <c r="C24" s="1">
        <f t="shared" si="11"/>
        <v>17000</v>
      </c>
      <c r="H24" s="1">
        <f t="shared" si="16"/>
        <v>825</v>
      </c>
      <c r="J24" s="1">
        <v>13</v>
      </c>
      <c r="K24" s="3">
        <f t="shared" si="12"/>
        <v>286.87500000000006</v>
      </c>
      <c r="L24" s="1">
        <f t="shared" si="9"/>
        <v>637.5</v>
      </c>
      <c r="M24" s="69">
        <f t="shared" si="13"/>
        <v>500.4375</v>
      </c>
      <c r="N24" s="1">
        <f t="shared" si="14"/>
        <v>0.45000000000000007</v>
      </c>
      <c r="O24" s="1">
        <f t="shared" si="15"/>
        <v>0.78500000000000003</v>
      </c>
      <c r="P24" s="1">
        <v>10</v>
      </c>
      <c r="Q24" s="119">
        <v>0.7</v>
      </c>
      <c r="R24" s="1">
        <v>1</v>
      </c>
      <c r="S24" s="1">
        <v>1</v>
      </c>
      <c r="T24" s="1">
        <v>0.8</v>
      </c>
      <c r="U24" s="1">
        <v>0</v>
      </c>
      <c r="V24" s="1">
        <v>14</v>
      </c>
    </row>
    <row r="25" spans="1:22" x14ac:dyDescent="0.2">
      <c r="A25" s="1">
        <v>14</v>
      </c>
      <c r="B25" s="1">
        <f t="shared" si="10"/>
        <v>1215</v>
      </c>
      <c r="C25" s="1">
        <f t="shared" si="11"/>
        <v>18000</v>
      </c>
      <c r="H25" s="1">
        <f t="shared" si="16"/>
        <v>10000</v>
      </c>
      <c r="J25" s="1">
        <v>14</v>
      </c>
      <c r="K25" s="3">
        <f t="shared" si="12"/>
        <v>303.75</v>
      </c>
      <c r="L25" s="1">
        <f t="shared" si="9"/>
        <v>675</v>
      </c>
      <c r="M25" s="69">
        <f t="shared" si="13"/>
        <v>529.875</v>
      </c>
      <c r="N25" s="1">
        <f t="shared" si="14"/>
        <v>0.45</v>
      </c>
      <c r="O25" s="1">
        <f t="shared" si="15"/>
        <v>0.78500000000000003</v>
      </c>
      <c r="P25" s="1">
        <v>11</v>
      </c>
      <c r="Q25" s="119">
        <v>0.75</v>
      </c>
      <c r="R25" s="1">
        <v>1</v>
      </c>
      <c r="S25" s="1">
        <v>1</v>
      </c>
      <c r="T25" s="1">
        <v>1</v>
      </c>
      <c r="U25" s="1">
        <v>0</v>
      </c>
      <c r="V25" s="1">
        <v>15</v>
      </c>
    </row>
    <row r="26" spans="1:22" x14ac:dyDescent="0.2">
      <c r="A26" s="1">
        <v>15</v>
      </c>
      <c r="B26" s="1">
        <f t="shared" si="10"/>
        <v>1282.5</v>
      </c>
      <c r="C26" s="1">
        <f t="shared" si="11"/>
        <v>19000</v>
      </c>
      <c r="H26" s="1">
        <f t="shared" si="16"/>
        <v>2750</v>
      </c>
      <c r="J26" s="1">
        <v>15</v>
      </c>
      <c r="K26" s="3">
        <f t="shared" si="12"/>
        <v>320.625</v>
      </c>
      <c r="L26" s="1">
        <f t="shared" si="9"/>
        <v>712.5</v>
      </c>
      <c r="M26" s="69">
        <f t="shared" si="13"/>
        <v>559.3125</v>
      </c>
      <c r="N26" s="1">
        <f t="shared" si="14"/>
        <v>0.45</v>
      </c>
      <c r="O26" s="1">
        <f t="shared" si="15"/>
        <v>0.78500000000000003</v>
      </c>
      <c r="P26" s="1">
        <v>12</v>
      </c>
      <c r="Q26" s="119">
        <v>0.8</v>
      </c>
      <c r="R26" s="1">
        <v>1</v>
      </c>
      <c r="S26" s="1">
        <v>1</v>
      </c>
      <c r="T26" s="1">
        <v>1.2</v>
      </c>
      <c r="U26" s="1">
        <v>0</v>
      </c>
      <c r="V26" s="1">
        <v>16</v>
      </c>
    </row>
    <row r="27" spans="1:22" x14ac:dyDescent="0.2">
      <c r="A27" s="1">
        <v>16</v>
      </c>
      <c r="B27" s="1">
        <f t="shared" si="10"/>
        <v>1350</v>
      </c>
      <c r="C27" s="1">
        <f t="shared" si="11"/>
        <v>20000</v>
      </c>
      <c r="D27" s="1">
        <f>C27*0.5</f>
        <v>10000</v>
      </c>
      <c r="E27" s="1">
        <f>C27+D27</f>
        <v>30000</v>
      </c>
      <c r="H27" s="1">
        <f t="shared" si="16"/>
        <v>3500</v>
      </c>
      <c r="J27" s="1">
        <v>16</v>
      </c>
      <c r="K27" s="3">
        <f t="shared" si="12"/>
        <v>337.5</v>
      </c>
      <c r="L27" s="1">
        <f t="shared" si="9"/>
        <v>750</v>
      </c>
      <c r="M27" s="69">
        <f t="shared" si="13"/>
        <v>588.75</v>
      </c>
      <c r="N27" s="1">
        <f t="shared" si="14"/>
        <v>0.45</v>
      </c>
      <c r="O27" s="1">
        <f t="shared" si="15"/>
        <v>0.78500000000000003</v>
      </c>
      <c r="P27" s="1">
        <v>13</v>
      </c>
      <c r="Q27" s="119">
        <v>0.85000000000000009</v>
      </c>
      <c r="R27" s="1">
        <v>1</v>
      </c>
      <c r="S27" s="1">
        <v>1</v>
      </c>
      <c r="T27" s="1">
        <v>1</v>
      </c>
      <c r="U27" s="1">
        <v>0.4</v>
      </c>
      <c r="V27" s="1">
        <v>17</v>
      </c>
    </row>
    <row r="28" spans="1:22" x14ac:dyDescent="0.2">
      <c r="P28" s="1">
        <v>14</v>
      </c>
      <c r="Q28" s="119">
        <v>0.9</v>
      </c>
      <c r="R28" s="1">
        <v>1</v>
      </c>
      <c r="S28" s="1">
        <v>1</v>
      </c>
      <c r="T28" s="1">
        <v>1</v>
      </c>
      <c r="U28" s="1">
        <v>0.6</v>
      </c>
      <c r="V28" s="1">
        <v>18</v>
      </c>
    </row>
    <row r="29" spans="1:22" x14ac:dyDescent="0.2">
      <c r="P29" s="1">
        <v>15</v>
      </c>
      <c r="Q29" s="119">
        <v>0.95000000000000007</v>
      </c>
      <c r="R29" s="1">
        <v>1</v>
      </c>
      <c r="S29" s="1">
        <v>1</v>
      </c>
      <c r="T29" s="1">
        <v>1</v>
      </c>
      <c r="U29" s="1">
        <v>0.8</v>
      </c>
      <c r="V29" s="1">
        <v>19</v>
      </c>
    </row>
    <row r="30" spans="1:22" x14ac:dyDescent="0.2">
      <c r="P30" s="1">
        <v>16</v>
      </c>
      <c r="Q30" s="119">
        <v>1</v>
      </c>
      <c r="R30" s="1">
        <v>1</v>
      </c>
      <c r="S30" s="1">
        <v>1</v>
      </c>
      <c r="T30" s="1">
        <v>1</v>
      </c>
      <c r="U30" s="1">
        <v>1</v>
      </c>
      <c r="V30" s="1">
        <v>20</v>
      </c>
    </row>
    <row r="32" spans="1:22" x14ac:dyDescent="0.2">
      <c r="M32" s="1">
        <f>M5/M2</f>
        <v>1.8105263157894738</v>
      </c>
      <c r="P32" s="1">
        <v>1</v>
      </c>
      <c r="R32" s="1">
        <f>$B$5*R15</f>
        <v>353.25</v>
      </c>
      <c r="S32" s="1">
        <f t="shared" ref="S32:U32" si="17">$B$5*S15</f>
        <v>0</v>
      </c>
      <c r="T32" s="1">
        <f t="shared" si="17"/>
        <v>0</v>
      </c>
      <c r="U32" s="1">
        <f t="shared" si="17"/>
        <v>0</v>
      </c>
    </row>
    <row r="33" spans="16:21" x14ac:dyDescent="0.2">
      <c r="P33" s="1">
        <v>2</v>
      </c>
      <c r="R33" s="1">
        <f t="shared" ref="R33:U33" si="18">$B$5*R16</f>
        <v>423.9</v>
      </c>
      <c r="S33" s="1">
        <f t="shared" si="18"/>
        <v>0</v>
      </c>
      <c r="T33" s="1">
        <f t="shared" si="18"/>
        <v>0</v>
      </c>
      <c r="U33" s="1">
        <f t="shared" si="18"/>
        <v>0</v>
      </c>
    </row>
    <row r="34" spans="16:21" x14ac:dyDescent="0.2">
      <c r="P34" s="1">
        <v>3</v>
      </c>
      <c r="R34" s="1">
        <f t="shared" ref="R34:U34" si="19">$B$5*R17</f>
        <v>494.54999999999995</v>
      </c>
      <c r="S34" s="1">
        <f t="shared" si="19"/>
        <v>0</v>
      </c>
      <c r="T34" s="1">
        <f t="shared" si="19"/>
        <v>0</v>
      </c>
      <c r="U34" s="1">
        <f t="shared" si="19"/>
        <v>0</v>
      </c>
    </row>
    <row r="35" spans="16:21" x14ac:dyDescent="0.2">
      <c r="P35" s="1">
        <v>4</v>
      </c>
      <c r="R35" s="1">
        <f t="shared" ref="R35:U35" si="20">$B$5*R18</f>
        <v>565.20000000000005</v>
      </c>
      <c r="S35" s="1">
        <f t="shared" si="20"/>
        <v>0</v>
      </c>
      <c r="T35" s="1">
        <f t="shared" si="20"/>
        <v>0</v>
      </c>
      <c r="U35" s="1">
        <f t="shared" si="20"/>
        <v>0</v>
      </c>
    </row>
    <row r="36" spans="16:21" x14ac:dyDescent="0.2">
      <c r="P36" s="1">
        <v>5</v>
      </c>
      <c r="R36" s="1">
        <f t="shared" ref="R36:U36" si="21">$B$5*R19</f>
        <v>353.25</v>
      </c>
      <c r="S36" s="1">
        <f t="shared" si="21"/>
        <v>282.60000000000002</v>
      </c>
      <c r="T36" s="1">
        <f t="shared" si="21"/>
        <v>0</v>
      </c>
      <c r="U36" s="1">
        <f t="shared" si="21"/>
        <v>0</v>
      </c>
    </row>
    <row r="37" spans="16:21" x14ac:dyDescent="0.2">
      <c r="P37" s="1">
        <v>6</v>
      </c>
      <c r="R37" s="1">
        <f t="shared" ref="R37:U37" si="22">$B$5*R20</f>
        <v>353.25</v>
      </c>
      <c r="S37" s="1">
        <f t="shared" si="22"/>
        <v>353.25</v>
      </c>
      <c r="T37" s="1">
        <f t="shared" si="22"/>
        <v>0</v>
      </c>
      <c r="U37" s="1">
        <f t="shared" si="22"/>
        <v>0</v>
      </c>
    </row>
    <row r="38" spans="16:21" x14ac:dyDescent="0.2">
      <c r="P38" s="1">
        <v>7</v>
      </c>
      <c r="R38" s="1">
        <f t="shared" ref="R38:U38" si="23">$B$5*R21</f>
        <v>353.25</v>
      </c>
      <c r="S38" s="1">
        <f t="shared" si="23"/>
        <v>423.9</v>
      </c>
      <c r="T38" s="1">
        <f t="shared" si="23"/>
        <v>0</v>
      </c>
      <c r="U38" s="1">
        <f t="shared" si="23"/>
        <v>0</v>
      </c>
    </row>
    <row r="39" spans="16:21" x14ac:dyDescent="0.2">
      <c r="P39" s="1">
        <v>8</v>
      </c>
      <c r="R39" s="1">
        <f t="shared" ref="R39:U39" si="24">$B$5*R22</f>
        <v>353.25</v>
      </c>
      <c r="S39" s="1">
        <f t="shared" si="24"/>
        <v>494.54999999999995</v>
      </c>
      <c r="T39" s="1">
        <f t="shared" si="24"/>
        <v>0</v>
      </c>
      <c r="U39" s="1">
        <f t="shared" si="24"/>
        <v>0</v>
      </c>
    </row>
    <row r="40" spans="16:21" x14ac:dyDescent="0.2">
      <c r="P40" s="1">
        <v>9</v>
      </c>
      <c r="R40" s="1">
        <f t="shared" ref="R40:U40" si="25">$B$5*R23</f>
        <v>353.25</v>
      </c>
      <c r="S40" s="1">
        <f t="shared" si="25"/>
        <v>353.25</v>
      </c>
      <c r="T40" s="1">
        <f t="shared" si="25"/>
        <v>211.95</v>
      </c>
      <c r="U40" s="1">
        <f t="shared" si="25"/>
        <v>0</v>
      </c>
    </row>
    <row r="41" spans="16:21" x14ac:dyDescent="0.2">
      <c r="P41" s="1">
        <v>10</v>
      </c>
      <c r="R41" s="1">
        <f t="shared" ref="R41:U41" si="26">$B$5*R24</f>
        <v>353.25</v>
      </c>
      <c r="S41" s="1">
        <f t="shared" si="26"/>
        <v>353.25</v>
      </c>
      <c r="T41" s="1">
        <f t="shared" si="26"/>
        <v>282.60000000000002</v>
      </c>
      <c r="U41" s="1">
        <f t="shared" si="26"/>
        <v>0</v>
      </c>
    </row>
    <row r="42" spans="16:21" x14ac:dyDescent="0.2">
      <c r="P42" s="1">
        <v>11</v>
      </c>
      <c r="R42" s="1">
        <f t="shared" ref="R42:U42" si="27">$B$5*R25</f>
        <v>353.25</v>
      </c>
      <c r="S42" s="1">
        <f t="shared" si="27"/>
        <v>353.25</v>
      </c>
      <c r="T42" s="1">
        <f t="shared" si="27"/>
        <v>353.25</v>
      </c>
      <c r="U42" s="1">
        <f t="shared" si="27"/>
        <v>0</v>
      </c>
    </row>
    <row r="43" spans="16:21" x14ac:dyDescent="0.2">
      <c r="P43" s="1">
        <v>12</v>
      </c>
      <c r="R43" s="1">
        <f t="shared" ref="R43:U43" si="28">$B$5*R26</f>
        <v>353.25</v>
      </c>
      <c r="S43" s="1">
        <f t="shared" si="28"/>
        <v>353.25</v>
      </c>
      <c r="T43" s="1">
        <f t="shared" si="28"/>
        <v>423.9</v>
      </c>
      <c r="U43" s="1">
        <f t="shared" si="28"/>
        <v>0</v>
      </c>
    </row>
    <row r="44" spans="16:21" x14ac:dyDescent="0.2">
      <c r="P44" s="1">
        <v>13</v>
      </c>
      <c r="R44" s="1">
        <f t="shared" ref="R44:U44" si="29">$B$5*R27</f>
        <v>353.25</v>
      </c>
      <c r="S44" s="1">
        <f t="shared" si="29"/>
        <v>353.25</v>
      </c>
      <c r="T44" s="1">
        <f t="shared" si="29"/>
        <v>353.25</v>
      </c>
      <c r="U44" s="1">
        <f t="shared" si="29"/>
        <v>141.30000000000001</v>
      </c>
    </row>
    <row r="45" spans="16:21" x14ac:dyDescent="0.2">
      <c r="P45" s="1">
        <v>14</v>
      </c>
      <c r="R45" s="1">
        <f t="shared" ref="R45:U45" si="30">$B$5*R28</f>
        <v>353.25</v>
      </c>
      <c r="S45" s="1">
        <f t="shared" si="30"/>
        <v>353.25</v>
      </c>
      <c r="T45" s="1">
        <f t="shared" si="30"/>
        <v>353.25</v>
      </c>
      <c r="U45" s="1">
        <f t="shared" si="30"/>
        <v>211.95</v>
      </c>
    </row>
    <row r="46" spans="16:21" x14ac:dyDescent="0.2">
      <c r="P46" s="1">
        <v>15</v>
      </c>
      <c r="R46" s="1">
        <f t="shared" ref="R46:U46" si="31">$B$5*R29</f>
        <v>353.25</v>
      </c>
      <c r="S46" s="1">
        <f t="shared" si="31"/>
        <v>353.25</v>
      </c>
      <c r="T46" s="1">
        <f t="shared" si="31"/>
        <v>353.25</v>
      </c>
      <c r="U46" s="1">
        <f t="shared" si="31"/>
        <v>282.60000000000002</v>
      </c>
    </row>
    <row r="47" spans="16:21" x14ac:dyDescent="0.2">
      <c r="P47" s="1">
        <v>16</v>
      </c>
      <c r="R47" s="1">
        <f t="shared" ref="R47:U47" si="32">$B$5*R30</f>
        <v>353.25</v>
      </c>
      <c r="S47" s="1">
        <f t="shared" si="32"/>
        <v>353.25</v>
      </c>
      <c r="T47" s="1">
        <f t="shared" si="32"/>
        <v>353.25</v>
      </c>
      <c r="U47" s="1">
        <f t="shared" si="32"/>
        <v>353.25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X62"/>
  <sheetViews>
    <sheetView tabSelected="1" topLeftCell="A8" workbookViewId="0">
      <selection activeCell="Q24" sqref="Q24"/>
    </sheetView>
  </sheetViews>
  <sheetFormatPr defaultRowHeight="11.25" x14ac:dyDescent="0.2"/>
  <cols>
    <col min="1" max="11" width="9" style="1"/>
    <col min="12" max="15" width="9" style="100"/>
    <col min="16" max="16384" width="9" style="1"/>
  </cols>
  <sheetData>
    <row r="2" spans="1:23" x14ac:dyDescent="0.2">
      <c r="B2" s="75"/>
      <c r="C2" s="75"/>
      <c r="D2" s="75"/>
      <c r="E2" s="75"/>
      <c r="F2" s="75"/>
      <c r="G2" s="75"/>
      <c r="H2" s="75"/>
      <c r="I2" s="75"/>
      <c r="J2" s="75"/>
      <c r="K2" s="75"/>
      <c r="L2" s="76" t="s">
        <v>117</v>
      </c>
      <c r="M2" s="76"/>
      <c r="N2" s="76"/>
      <c r="O2" s="76"/>
      <c r="P2" s="75"/>
      <c r="Q2" s="75"/>
      <c r="R2" s="75"/>
      <c r="S2" s="75"/>
    </row>
    <row r="3" spans="1:23" x14ac:dyDescent="0.2">
      <c r="B3" s="77"/>
      <c r="C3" s="77" t="s">
        <v>1</v>
      </c>
      <c r="D3" s="77" t="s">
        <v>2</v>
      </c>
      <c r="E3" s="77" t="s">
        <v>3</v>
      </c>
      <c r="F3" s="77" t="s">
        <v>4</v>
      </c>
      <c r="G3" s="78" t="s">
        <v>5</v>
      </c>
      <c r="H3" s="79" t="s">
        <v>6</v>
      </c>
      <c r="I3" s="80" t="s">
        <v>118</v>
      </c>
      <c r="J3" s="80" t="s">
        <v>125</v>
      </c>
      <c r="K3" s="80" t="s">
        <v>124</v>
      </c>
      <c r="L3" s="81" t="s">
        <v>1</v>
      </c>
      <c r="M3" s="81" t="s">
        <v>2</v>
      </c>
      <c r="N3" s="81" t="s">
        <v>3</v>
      </c>
      <c r="O3" s="81" t="s">
        <v>4</v>
      </c>
      <c r="P3" s="78" t="s">
        <v>5</v>
      </c>
      <c r="Q3" s="79" t="s">
        <v>6</v>
      </c>
      <c r="R3" s="80" t="s">
        <v>119</v>
      </c>
      <c r="S3" s="80" t="s">
        <v>120</v>
      </c>
      <c r="T3" s="77" t="s">
        <v>121</v>
      </c>
      <c r="U3" s="80" t="s">
        <v>123</v>
      </c>
      <c r="V3" s="80"/>
      <c r="W3" s="80" t="s">
        <v>128</v>
      </c>
    </row>
    <row r="4" spans="1:23" x14ac:dyDescent="0.2">
      <c r="B4" s="82" t="s">
        <v>0</v>
      </c>
      <c r="C4" s="83">
        <v>75</v>
      </c>
      <c r="D4" s="83">
        <v>0</v>
      </c>
      <c r="E4" s="83">
        <v>5</v>
      </c>
      <c r="F4" s="84">
        <v>700</v>
      </c>
      <c r="G4" s="85">
        <v>1</v>
      </c>
      <c r="H4" s="86">
        <v>2</v>
      </c>
      <c r="I4" s="75">
        <v>25</v>
      </c>
      <c r="J4" s="80">
        <f>L4/C4</f>
        <v>8.3333333333333339</v>
      </c>
      <c r="K4" s="80">
        <v>1</v>
      </c>
      <c r="L4" s="87">
        <f>R4*P4</f>
        <v>625</v>
      </c>
      <c r="M4" s="87">
        <f>D4*K4*J4</f>
        <v>0</v>
      </c>
      <c r="N4" s="87">
        <f>E4*K4*3</f>
        <v>15</v>
      </c>
      <c r="O4" s="87">
        <f>U4/3</f>
        <v>5833.333333333333</v>
      </c>
      <c r="P4" s="85">
        <v>1</v>
      </c>
      <c r="Q4" s="86">
        <v>2</v>
      </c>
      <c r="R4" s="88">
        <f>S4/3</f>
        <v>625</v>
      </c>
      <c r="S4" s="88">
        <f>((C4/G4)*I4)*K4</f>
        <v>1875</v>
      </c>
      <c r="T4" s="1">
        <f>E4*K4*3</f>
        <v>15</v>
      </c>
      <c r="U4" s="1">
        <f>F4*K4*I4</f>
        <v>17500</v>
      </c>
      <c r="V4" s="89">
        <f>L4*2</f>
        <v>1250</v>
      </c>
      <c r="W4" s="1" t="s">
        <v>134</v>
      </c>
    </row>
    <row r="5" spans="1:23" x14ac:dyDescent="0.2">
      <c r="B5" s="90" t="s">
        <v>37</v>
      </c>
      <c r="C5" s="91">
        <v>20</v>
      </c>
      <c r="D5" s="91">
        <v>130</v>
      </c>
      <c r="E5" s="91">
        <v>2</v>
      </c>
      <c r="F5" s="92">
        <f>600*0.7</f>
        <v>420</v>
      </c>
      <c r="G5" s="93">
        <v>1.5</v>
      </c>
      <c r="H5" s="79">
        <v>1.2</v>
      </c>
      <c r="I5" s="75">
        <v>25</v>
      </c>
      <c r="J5" s="80">
        <f t="shared" ref="J5:J12" si="0">L5/C5</f>
        <v>54.166666666666671</v>
      </c>
      <c r="K5" s="80">
        <v>1</v>
      </c>
      <c r="L5" s="87">
        <f t="shared" ref="L5:L12" si="1">R5*P5</f>
        <v>1083.3333333333335</v>
      </c>
      <c r="M5" s="87">
        <f t="shared" ref="M5:M12" si="2">D5*K5*J5</f>
        <v>7041.666666666667</v>
      </c>
      <c r="N5" s="87">
        <f t="shared" ref="N5:N12" si="3">E5*K5*3</f>
        <v>6</v>
      </c>
      <c r="O5" s="87">
        <f t="shared" ref="O5:O12" si="4">U5/3</f>
        <v>3500</v>
      </c>
      <c r="P5" s="93">
        <v>1.5</v>
      </c>
      <c r="Q5" s="79">
        <v>1.2</v>
      </c>
      <c r="R5" s="88">
        <f t="shared" ref="R5:R12" si="5">S5/3</f>
        <v>722.22222222222229</v>
      </c>
      <c r="S5" s="88">
        <f>((D5/G5)*I5)*K5</f>
        <v>2166.666666666667</v>
      </c>
      <c r="T5" s="1">
        <f t="shared" ref="T5:T12" si="6">E5*K5*3</f>
        <v>6</v>
      </c>
      <c r="U5" s="1">
        <f t="shared" ref="U5:U12" si="7">F5*K5*I5</f>
        <v>10500</v>
      </c>
      <c r="V5" s="89">
        <f t="shared" ref="V5:V12" si="8">L5*2</f>
        <v>2166.666666666667</v>
      </c>
      <c r="W5" s="1" t="s">
        <v>126</v>
      </c>
    </row>
    <row r="6" spans="1:23" x14ac:dyDescent="0.2">
      <c r="B6" s="94" t="s">
        <v>115</v>
      </c>
      <c r="C6" s="95">
        <v>100</v>
      </c>
      <c r="D6" s="95">
        <v>0</v>
      </c>
      <c r="E6" s="95">
        <v>3</v>
      </c>
      <c r="F6" s="96">
        <v>650</v>
      </c>
      <c r="G6" s="97">
        <v>1.3</v>
      </c>
      <c r="H6" s="98">
        <v>3.6</v>
      </c>
      <c r="I6" s="75">
        <v>25</v>
      </c>
      <c r="J6" s="80">
        <f t="shared" si="0"/>
        <v>8.3333333333333339</v>
      </c>
      <c r="K6" s="80">
        <v>1</v>
      </c>
      <c r="L6" s="87">
        <f t="shared" si="1"/>
        <v>833.33333333333337</v>
      </c>
      <c r="M6" s="87">
        <f t="shared" si="2"/>
        <v>0</v>
      </c>
      <c r="N6" s="87">
        <f t="shared" si="3"/>
        <v>9</v>
      </c>
      <c r="O6" s="87">
        <f t="shared" si="4"/>
        <v>5416.666666666667</v>
      </c>
      <c r="P6" s="97">
        <v>1.3</v>
      </c>
      <c r="Q6" s="98">
        <v>3.6</v>
      </c>
      <c r="R6" s="88">
        <f t="shared" si="5"/>
        <v>641.02564102564099</v>
      </c>
      <c r="S6" s="88">
        <f t="shared" ref="S6:S12" si="9">((C6/G6)*I6)*K6</f>
        <v>1923.0769230769231</v>
      </c>
      <c r="T6" s="1">
        <f t="shared" si="6"/>
        <v>9</v>
      </c>
      <c r="U6" s="1">
        <f t="shared" si="7"/>
        <v>16250</v>
      </c>
      <c r="V6" s="89">
        <f t="shared" si="8"/>
        <v>1666.6666666666667</v>
      </c>
      <c r="W6" s="1" t="s">
        <v>127</v>
      </c>
    </row>
    <row r="7" spans="1:23" x14ac:dyDescent="0.2">
      <c r="B7" s="82" t="s">
        <v>36</v>
      </c>
      <c r="C7" s="83">
        <v>700</v>
      </c>
      <c r="D7" s="83">
        <v>0</v>
      </c>
      <c r="E7" s="83">
        <v>5</v>
      </c>
      <c r="F7" s="84">
        <v>5500</v>
      </c>
      <c r="G7" s="85">
        <v>1.4</v>
      </c>
      <c r="H7" s="86">
        <v>2</v>
      </c>
      <c r="I7" s="75">
        <v>4</v>
      </c>
      <c r="J7" s="80">
        <f t="shared" si="0"/>
        <v>1.3333333333333335</v>
      </c>
      <c r="K7" s="80">
        <v>1</v>
      </c>
      <c r="L7" s="87">
        <f t="shared" si="1"/>
        <v>933.33333333333337</v>
      </c>
      <c r="M7" s="87">
        <f t="shared" si="2"/>
        <v>0</v>
      </c>
      <c r="N7" s="87">
        <f t="shared" si="3"/>
        <v>15</v>
      </c>
      <c r="O7" s="87">
        <f t="shared" si="4"/>
        <v>7333.333333333333</v>
      </c>
      <c r="P7" s="85">
        <v>1.4</v>
      </c>
      <c r="Q7" s="86">
        <v>2</v>
      </c>
      <c r="R7" s="88">
        <f t="shared" si="5"/>
        <v>666.66666666666674</v>
      </c>
      <c r="S7" s="88">
        <f t="shared" si="9"/>
        <v>2000.0000000000002</v>
      </c>
      <c r="T7" s="1">
        <f t="shared" si="6"/>
        <v>15</v>
      </c>
      <c r="U7" s="1">
        <f t="shared" si="7"/>
        <v>22000</v>
      </c>
      <c r="V7" s="89">
        <f t="shared" si="8"/>
        <v>1866.6666666666667</v>
      </c>
    </row>
    <row r="8" spans="1:23" x14ac:dyDescent="0.2">
      <c r="B8" s="90" t="s">
        <v>40</v>
      </c>
      <c r="C8" s="91">
        <v>100</v>
      </c>
      <c r="D8" s="91">
        <v>220</v>
      </c>
      <c r="E8" s="91">
        <v>5</v>
      </c>
      <c r="F8" s="92">
        <f>4000*0.7</f>
        <v>2800</v>
      </c>
      <c r="G8" s="93">
        <v>1.3</v>
      </c>
      <c r="H8" s="79">
        <v>1.6</v>
      </c>
      <c r="I8" s="75">
        <v>4</v>
      </c>
      <c r="J8" s="80">
        <f t="shared" si="0"/>
        <v>2.9333333333333331</v>
      </c>
      <c r="K8" s="80">
        <v>1</v>
      </c>
      <c r="L8" s="87">
        <f t="shared" si="1"/>
        <v>293.33333333333331</v>
      </c>
      <c r="M8" s="87">
        <f t="shared" si="2"/>
        <v>645.33333333333326</v>
      </c>
      <c r="N8" s="87">
        <f t="shared" si="3"/>
        <v>15</v>
      </c>
      <c r="O8" s="87">
        <f t="shared" si="4"/>
        <v>3733.3333333333335</v>
      </c>
      <c r="P8" s="93">
        <v>1.3</v>
      </c>
      <c r="Q8" s="79">
        <v>1.6</v>
      </c>
      <c r="R8" s="88">
        <f t="shared" si="5"/>
        <v>225.64102564102564</v>
      </c>
      <c r="S8" s="88">
        <f>((D8/G8)*I8)*K8</f>
        <v>676.92307692307691</v>
      </c>
      <c r="T8" s="1">
        <f t="shared" si="6"/>
        <v>15</v>
      </c>
      <c r="U8" s="1">
        <f t="shared" si="7"/>
        <v>11200</v>
      </c>
      <c r="V8" s="89">
        <f t="shared" si="8"/>
        <v>586.66666666666663</v>
      </c>
      <c r="W8" s="1" t="s">
        <v>129</v>
      </c>
    </row>
    <row r="9" spans="1:23" x14ac:dyDescent="0.2">
      <c r="B9" s="94" t="s">
        <v>39</v>
      </c>
      <c r="C9" s="95">
        <v>640</v>
      </c>
      <c r="D9" s="95">
        <v>0</v>
      </c>
      <c r="E9" s="95">
        <v>5</v>
      </c>
      <c r="F9" s="96">
        <v>4500</v>
      </c>
      <c r="G9" s="97">
        <v>1.2</v>
      </c>
      <c r="H9" s="98">
        <v>2.88</v>
      </c>
      <c r="I9" s="75">
        <v>4</v>
      </c>
      <c r="J9" s="80">
        <f t="shared" si="0"/>
        <v>1.3333333333333335</v>
      </c>
      <c r="K9" s="80">
        <v>1</v>
      </c>
      <c r="L9" s="87">
        <f t="shared" si="1"/>
        <v>853.33333333333337</v>
      </c>
      <c r="M9" s="87">
        <f t="shared" si="2"/>
        <v>0</v>
      </c>
      <c r="N9" s="87">
        <f t="shared" si="3"/>
        <v>15</v>
      </c>
      <c r="O9" s="87">
        <f t="shared" si="4"/>
        <v>6000</v>
      </c>
      <c r="P9" s="97">
        <v>1.2</v>
      </c>
      <c r="Q9" s="98">
        <v>2.88</v>
      </c>
      <c r="R9" s="88">
        <f t="shared" si="5"/>
        <v>711.1111111111112</v>
      </c>
      <c r="S9" s="88">
        <f t="shared" si="9"/>
        <v>2133.3333333333335</v>
      </c>
      <c r="T9" s="1">
        <f t="shared" si="6"/>
        <v>15</v>
      </c>
      <c r="U9" s="1">
        <f t="shared" si="7"/>
        <v>18000</v>
      </c>
      <c r="V9" s="89">
        <f t="shared" si="8"/>
        <v>1706.6666666666667</v>
      </c>
      <c r="W9" s="1" t="s">
        <v>130</v>
      </c>
    </row>
    <row r="10" spans="1:23" x14ac:dyDescent="0.2">
      <c r="B10" s="82" t="s">
        <v>35</v>
      </c>
      <c r="C10" s="83">
        <v>3000</v>
      </c>
      <c r="D10" s="83">
        <v>0</v>
      </c>
      <c r="E10" s="83">
        <v>15</v>
      </c>
      <c r="F10" s="84">
        <v>20000</v>
      </c>
      <c r="G10" s="85">
        <v>1.7</v>
      </c>
      <c r="H10" s="86">
        <v>1</v>
      </c>
      <c r="I10" s="75">
        <v>1</v>
      </c>
      <c r="J10" s="80">
        <f t="shared" si="0"/>
        <v>0.33333333333333331</v>
      </c>
      <c r="K10" s="80">
        <v>1</v>
      </c>
      <c r="L10" s="87">
        <f t="shared" si="1"/>
        <v>1000</v>
      </c>
      <c r="M10" s="87">
        <f t="shared" si="2"/>
        <v>0</v>
      </c>
      <c r="N10" s="87">
        <f t="shared" si="3"/>
        <v>45</v>
      </c>
      <c r="O10" s="87">
        <f t="shared" si="4"/>
        <v>6666.666666666667</v>
      </c>
      <c r="P10" s="85">
        <v>1.7</v>
      </c>
      <c r="Q10" s="86">
        <v>1</v>
      </c>
      <c r="R10" s="88">
        <f t="shared" si="5"/>
        <v>588.23529411764707</v>
      </c>
      <c r="S10" s="88">
        <f t="shared" si="9"/>
        <v>1764.7058823529412</v>
      </c>
      <c r="T10" s="1">
        <f t="shared" si="6"/>
        <v>45</v>
      </c>
      <c r="U10" s="1">
        <f t="shared" si="7"/>
        <v>20000</v>
      </c>
      <c r="V10" s="89">
        <f t="shared" si="8"/>
        <v>2000</v>
      </c>
      <c r="W10" s="1" t="s">
        <v>131</v>
      </c>
    </row>
    <row r="11" spans="1:23" x14ac:dyDescent="0.2">
      <c r="B11" s="90" t="s">
        <v>41</v>
      </c>
      <c r="C11" s="91">
        <v>200</v>
      </c>
      <c r="D11" s="91">
        <v>3000</v>
      </c>
      <c r="E11" s="91">
        <v>5</v>
      </c>
      <c r="F11" s="92">
        <f>17000*0.7</f>
        <v>11900</v>
      </c>
      <c r="G11" s="93">
        <v>1.5</v>
      </c>
      <c r="H11" s="79">
        <v>1.2</v>
      </c>
      <c r="I11" s="75">
        <v>1</v>
      </c>
      <c r="J11" s="80">
        <f t="shared" si="0"/>
        <v>5</v>
      </c>
      <c r="K11" s="80">
        <v>1</v>
      </c>
      <c r="L11" s="87">
        <f t="shared" si="1"/>
        <v>1000</v>
      </c>
      <c r="M11" s="87">
        <f t="shared" si="2"/>
        <v>15000</v>
      </c>
      <c r="N11" s="87">
        <f t="shared" si="3"/>
        <v>15</v>
      </c>
      <c r="O11" s="87">
        <f t="shared" si="4"/>
        <v>3966.6666666666665</v>
      </c>
      <c r="P11" s="93">
        <v>1.5</v>
      </c>
      <c r="Q11" s="79">
        <v>1.2</v>
      </c>
      <c r="R11" s="88">
        <f t="shared" si="5"/>
        <v>666.66666666666663</v>
      </c>
      <c r="S11" s="88">
        <f>((D11/G11)*I11)*K11</f>
        <v>2000</v>
      </c>
      <c r="T11" s="1">
        <f t="shared" si="6"/>
        <v>15</v>
      </c>
      <c r="U11" s="1">
        <f t="shared" si="7"/>
        <v>11900</v>
      </c>
      <c r="V11" s="89">
        <f t="shared" si="8"/>
        <v>2000</v>
      </c>
    </row>
    <row r="12" spans="1:23" x14ac:dyDescent="0.2">
      <c r="B12" s="94" t="s">
        <v>7</v>
      </c>
      <c r="C12" s="95">
        <v>5150</v>
      </c>
      <c r="D12" s="95">
        <v>0</v>
      </c>
      <c r="E12" s="95">
        <v>5</v>
      </c>
      <c r="F12" s="96">
        <v>13000</v>
      </c>
      <c r="G12" s="97">
        <v>2.4</v>
      </c>
      <c r="H12" s="98">
        <v>6</v>
      </c>
      <c r="I12" s="75">
        <v>1</v>
      </c>
      <c r="J12" s="80">
        <f t="shared" si="0"/>
        <v>0.33333333333333337</v>
      </c>
      <c r="K12" s="80">
        <v>1</v>
      </c>
      <c r="L12" s="87">
        <f t="shared" si="1"/>
        <v>1716.6666666666667</v>
      </c>
      <c r="M12" s="87">
        <f t="shared" si="2"/>
        <v>0</v>
      </c>
      <c r="N12" s="87">
        <f t="shared" si="3"/>
        <v>15</v>
      </c>
      <c r="O12" s="87">
        <f t="shared" si="4"/>
        <v>4333.333333333333</v>
      </c>
      <c r="P12" s="97">
        <v>2.4</v>
      </c>
      <c r="Q12" s="98">
        <v>6</v>
      </c>
      <c r="R12" s="88">
        <f t="shared" si="5"/>
        <v>715.27777777777783</v>
      </c>
      <c r="S12" s="88">
        <f t="shared" si="9"/>
        <v>2145.8333333333335</v>
      </c>
      <c r="T12" s="1">
        <f t="shared" si="6"/>
        <v>15</v>
      </c>
      <c r="U12" s="1">
        <f t="shared" si="7"/>
        <v>13000</v>
      </c>
      <c r="V12" s="89">
        <f t="shared" si="8"/>
        <v>3433.3333333333335</v>
      </c>
      <c r="W12" s="1" t="s">
        <v>132</v>
      </c>
    </row>
    <row r="13" spans="1:23" x14ac:dyDescent="0.2">
      <c r="B13" s="90"/>
      <c r="C13" s="91"/>
      <c r="D13" s="91"/>
      <c r="E13" s="91"/>
      <c r="F13" s="92"/>
      <c r="G13" s="93"/>
      <c r="H13" s="79"/>
      <c r="I13" s="75"/>
      <c r="J13" s="80"/>
      <c r="K13" s="80"/>
      <c r="L13" s="87"/>
      <c r="M13" s="87"/>
      <c r="N13" s="99"/>
      <c r="O13" s="99"/>
      <c r="P13" s="93"/>
      <c r="Q13" s="79"/>
      <c r="R13" s="88"/>
      <c r="S13" s="88"/>
      <c r="W13" s="1" t="s">
        <v>133</v>
      </c>
    </row>
    <row r="14" spans="1:23" x14ac:dyDescent="0.2">
      <c r="A14" s="1" t="s">
        <v>122</v>
      </c>
      <c r="B14" s="82" t="s">
        <v>0</v>
      </c>
      <c r="C14" s="83">
        <v>75</v>
      </c>
      <c r="D14" s="83">
        <v>0</v>
      </c>
      <c r="E14" s="83">
        <v>5</v>
      </c>
      <c r="F14" s="84">
        <v>700</v>
      </c>
      <c r="G14" s="85">
        <v>1</v>
      </c>
      <c r="H14" s="86">
        <v>2</v>
      </c>
      <c r="I14" s="75">
        <v>25</v>
      </c>
      <c r="J14" s="80">
        <f>L14/C14</f>
        <v>16.666666666666668</v>
      </c>
      <c r="K14" s="80">
        <v>2</v>
      </c>
      <c r="L14" s="87">
        <f>R14*P14</f>
        <v>1250</v>
      </c>
      <c r="M14" s="87">
        <f>D14*K14*J14</f>
        <v>0</v>
      </c>
      <c r="N14" s="87">
        <f>E14*K14*3</f>
        <v>30</v>
      </c>
      <c r="O14" s="87">
        <f>U14/3</f>
        <v>11666.666666666666</v>
      </c>
      <c r="P14" s="85">
        <v>1</v>
      </c>
      <c r="Q14" s="86">
        <v>2</v>
      </c>
      <c r="R14" s="88">
        <f>S14/3</f>
        <v>1250</v>
      </c>
      <c r="S14" s="88">
        <f>((C14/G14)*I14)*K14</f>
        <v>3750</v>
      </c>
      <c r="T14" s="1">
        <f>E14*K14*3</f>
        <v>30</v>
      </c>
      <c r="U14" s="1">
        <f>F14*K14*I14</f>
        <v>35000</v>
      </c>
    </row>
    <row r="15" spans="1:23" x14ac:dyDescent="0.2">
      <c r="B15" s="90" t="s">
        <v>37</v>
      </c>
      <c r="C15" s="91">
        <v>20</v>
      </c>
      <c r="D15" s="91">
        <v>130</v>
      </c>
      <c r="E15" s="91">
        <v>2</v>
      </c>
      <c r="F15" s="92">
        <f>600*0.7</f>
        <v>420</v>
      </c>
      <c r="G15" s="93">
        <v>1.5</v>
      </c>
      <c r="H15" s="79">
        <v>1.2</v>
      </c>
      <c r="I15" s="75">
        <v>25</v>
      </c>
      <c r="J15" s="80">
        <f t="shared" ref="J15:J22" si="10">L15/C15</f>
        <v>108.33333333333334</v>
      </c>
      <c r="K15" s="80">
        <v>2</v>
      </c>
      <c r="L15" s="87">
        <f t="shared" ref="L15:L22" si="11">R15*P15</f>
        <v>2166.666666666667</v>
      </c>
      <c r="M15" s="87">
        <f t="shared" ref="M15:M22" si="12">D15*K15*J15</f>
        <v>28166.666666666668</v>
      </c>
      <c r="N15" s="87">
        <f t="shared" ref="N15:N22" si="13">E15*K15*3</f>
        <v>12</v>
      </c>
      <c r="O15" s="87">
        <f t="shared" ref="O15:O22" si="14">U15/3</f>
        <v>7000</v>
      </c>
      <c r="P15" s="93">
        <v>1.5</v>
      </c>
      <c r="Q15" s="79">
        <v>1.2</v>
      </c>
      <c r="R15" s="88">
        <f t="shared" ref="R15:R22" si="15">S15/3</f>
        <v>1444.4444444444446</v>
      </c>
      <c r="S15" s="88">
        <f>((D15/G15)*I15)*K15</f>
        <v>4333.3333333333339</v>
      </c>
      <c r="T15" s="1">
        <f t="shared" ref="T15:T22" si="16">E15*K15*3</f>
        <v>12</v>
      </c>
      <c r="U15" s="1">
        <f t="shared" ref="U15:U22" si="17">F15*K15*I15</f>
        <v>21000</v>
      </c>
      <c r="W15" s="1" t="s">
        <v>136</v>
      </c>
    </row>
    <row r="16" spans="1:23" x14ac:dyDescent="0.2">
      <c r="B16" s="94" t="s">
        <v>115</v>
      </c>
      <c r="C16" s="95">
        <v>100</v>
      </c>
      <c r="D16" s="95">
        <v>0</v>
      </c>
      <c r="E16" s="95">
        <v>3</v>
      </c>
      <c r="F16" s="96">
        <v>650</v>
      </c>
      <c r="G16" s="97">
        <v>1.3</v>
      </c>
      <c r="H16" s="98">
        <v>3.6</v>
      </c>
      <c r="I16" s="75">
        <v>25</v>
      </c>
      <c r="J16" s="80">
        <f t="shared" si="10"/>
        <v>16.666666666666668</v>
      </c>
      <c r="K16" s="80">
        <v>2</v>
      </c>
      <c r="L16" s="87">
        <f t="shared" si="11"/>
        <v>1666.6666666666667</v>
      </c>
      <c r="M16" s="87">
        <f t="shared" si="12"/>
        <v>0</v>
      </c>
      <c r="N16" s="87">
        <f t="shared" si="13"/>
        <v>18</v>
      </c>
      <c r="O16" s="87">
        <f t="shared" si="14"/>
        <v>10833.333333333334</v>
      </c>
      <c r="P16" s="97">
        <v>1.3</v>
      </c>
      <c r="Q16" s="98">
        <v>3.6</v>
      </c>
      <c r="R16" s="88">
        <f t="shared" si="15"/>
        <v>1282.051282051282</v>
      </c>
      <c r="S16" s="88">
        <f t="shared" ref="S16:S22" si="18">((C16/G16)*I16)*K16</f>
        <v>3846.1538461538462</v>
      </c>
      <c r="T16" s="1">
        <f t="shared" si="16"/>
        <v>18</v>
      </c>
      <c r="U16" s="1">
        <f t="shared" si="17"/>
        <v>32500</v>
      </c>
    </row>
    <row r="17" spans="1:24" x14ac:dyDescent="0.2">
      <c r="B17" s="82" t="s">
        <v>36</v>
      </c>
      <c r="C17" s="83">
        <v>700</v>
      </c>
      <c r="D17" s="83">
        <v>0</v>
      </c>
      <c r="E17" s="83">
        <v>5</v>
      </c>
      <c r="F17" s="84">
        <v>5500</v>
      </c>
      <c r="G17" s="85">
        <v>1.4</v>
      </c>
      <c r="H17" s="86">
        <v>2</v>
      </c>
      <c r="I17" s="75">
        <v>4</v>
      </c>
      <c r="J17" s="80">
        <f t="shared" si="10"/>
        <v>2.666666666666667</v>
      </c>
      <c r="K17" s="80">
        <v>2</v>
      </c>
      <c r="L17" s="87">
        <f t="shared" si="11"/>
        <v>1866.6666666666667</v>
      </c>
      <c r="M17" s="87">
        <f t="shared" si="12"/>
        <v>0</v>
      </c>
      <c r="N17" s="87">
        <f t="shared" si="13"/>
        <v>30</v>
      </c>
      <c r="O17" s="87">
        <f t="shared" si="14"/>
        <v>14666.666666666666</v>
      </c>
      <c r="P17" s="85">
        <v>1.4</v>
      </c>
      <c r="Q17" s="86">
        <v>2</v>
      </c>
      <c r="R17" s="88">
        <f t="shared" si="15"/>
        <v>1333.3333333333335</v>
      </c>
      <c r="S17" s="88">
        <f t="shared" si="18"/>
        <v>4000.0000000000005</v>
      </c>
      <c r="T17" s="1">
        <f t="shared" si="16"/>
        <v>30</v>
      </c>
      <c r="U17" s="1">
        <f t="shared" si="17"/>
        <v>44000</v>
      </c>
      <c r="W17" s="1" t="s">
        <v>137</v>
      </c>
    </row>
    <row r="18" spans="1:24" x14ac:dyDescent="0.2">
      <c r="B18" s="90" t="s">
        <v>40</v>
      </c>
      <c r="C18" s="91">
        <v>100</v>
      </c>
      <c r="D18" s="91">
        <v>220</v>
      </c>
      <c r="E18" s="91">
        <v>5</v>
      </c>
      <c r="F18" s="92">
        <f>4000*0.7</f>
        <v>2800</v>
      </c>
      <c r="G18" s="93">
        <v>1.3</v>
      </c>
      <c r="H18" s="79">
        <v>1.6</v>
      </c>
      <c r="I18" s="75">
        <v>4</v>
      </c>
      <c r="J18" s="80">
        <f t="shared" si="10"/>
        <v>5.8666666666666663</v>
      </c>
      <c r="K18" s="80">
        <v>2</v>
      </c>
      <c r="L18" s="87">
        <f t="shared" si="11"/>
        <v>586.66666666666663</v>
      </c>
      <c r="M18" s="87">
        <f t="shared" si="12"/>
        <v>2581.333333333333</v>
      </c>
      <c r="N18" s="87">
        <f t="shared" si="13"/>
        <v>30</v>
      </c>
      <c r="O18" s="87">
        <f t="shared" si="14"/>
        <v>7466.666666666667</v>
      </c>
      <c r="P18" s="93">
        <v>1.3</v>
      </c>
      <c r="Q18" s="79">
        <v>1.6</v>
      </c>
      <c r="R18" s="88">
        <f t="shared" si="15"/>
        <v>451.28205128205127</v>
      </c>
      <c r="S18" s="88">
        <f>((D18/G18)*I18)*K18</f>
        <v>1353.8461538461538</v>
      </c>
      <c r="T18" s="1">
        <f t="shared" si="16"/>
        <v>30</v>
      </c>
      <c r="U18" s="1">
        <f t="shared" si="17"/>
        <v>22400</v>
      </c>
      <c r="W18" s="1" t="s">
        <v>138</v>
      </c>
    </row>
    <row r="19" spans="1:24" x14ac:dyDescent="0.2">
      <c r="B19" s="94" t="s">
        <v>39</v>
      </c>
      <c r="C19" s="95">
        <v>640</v>
      </c>
      <c r="D19" s="95">
        <v>0</v>
      </c>
      <c r="E19" s="95">
        <v>5</v>
      </c>
      <c r="F19" s="96">
        <v>4500</v>
      </c>
      <c r="G19" s="97">
        <v>1.2</v>
      </c>
      <c r="H19" s="98">
        <v>2.88</v>
      </c>
      <c r="I19" s="75">
        <v>4</v>
      </c>
      <c r="J19" s="80">
        <f t="shared" si="10"/>
        <v>2.666666666666667</v>
      </c>
      <c r="K19" s="80">
        <v>2</v>
      </c>
      <c r="L19" s="87">
        <f t="shared" si="11"/>
        <v>1706.6666666666667</v>
      </c>
      <c r="M19" s="87">
        <f t="shared" si="12"/>
        <v>0</v>
      </c>
      <c r="N19" s="87">
        <f t="shared" si="13"/>
        <v>30</v>
      </c>
      <c r="O19" s="87">
        <f t="shared" si="14"/>
        <v>12000</v>
      </c>
      <c r="P19" s="97">
        <v>1.2</v>
      </c>
      <c r="Q19" s="98">
        <v>2.88</v>
      </c>
      <c r="R19" s="88">
        <f t="shared" si="15"/>
        <v>1422.2222222222224</v>
      </c>
      <c r="S19" s="88">
        <f t="shared" si="18"/>
        <v>4266.666666666667</v>
      </c>
      <c r="T19" s="1">
        <f t="shared" si="16"/>
        <v>30</v>
      </c>
      <c r="U19" s="1">
        <f t="shared" si="17"/>
        <v>36000</v>
      </c>
    </row>
    <row r="20" spans="1:24" x14ac:dyDescent="0.2">
      <c r="B20" s="82" t="s">
        <v>35</v>
      </c>
      <c r="C20" s="83">
        <v>3000</v>
      </c>
      <c r="D20" s="83">
        <v>0</v>
      </c>
      <c r="E20" s="83">
        <v>15</v>
      </c>
      <c r="F20" s="84">
        <v>20000</v>
      </c>
      <c r="G20" s="85">
        <v>1.7</v>
      </c>
      <c r="H20" s="86">
        <v>1</v>
      </c>
      <c r="I20" s="75">
        <v>1</v>
      </c>
      <c r="J20" s="80">
        <f t="shared" si="10"/>
        <v>0.66666666666666663</v>
      </c>
      <c r="K20" s="80">
        <v>2</v>
      </c>
      <c r="L20" s="87">
        <f t="shared" si="11"/>
        <v>2000</v>
      </c>
      <c r="M20" s="87">
        <f t="shared" si="12"/>
        <v>0</v>
      </c>
      <c r="N20" s="87">
        <f t="shared" si="13"/>
        <v>90</v>
      </c>
      <c r="O20" s="87">
        <f t="shared" si="14"/>
        <v>13333.333333333334</v>
      </c>
      <c r="P20" s="85">
        <v>1.7</v>
      </c>
      <c r="Q20" s="86">
        <v>1</v>
      </c>
      <c r="R20" s="88">
        <f t="shared" si="15"/>
        <v>1176.4705882352941</v>
      </c>
      <c r="S20" s="88">
        <f t="shared" si="18"/>
        <v>3529.4117647058824</v>
      </c>
      <c r="T20" s="1">
        <f t="shared" si="16"/>
        <v>90</v>
      </c>
      <c r="U20" s="1">
        <f t="shared" si="17"/>
        <v>40000</v>
      </c>
    </row>
    <row r="21" spans="1:24" x14ac:dyDescent="0.2">
      <c r="B21" s="90" t="s">
        <v>41</v>
      </c>
      <c r="C21" s="91">
        <v>200</v>
      </c>
      <c r="D21" s="91">
        <v>3000</v>
      </c>
      <c r="E21" s="91">
        <v>5</v>
      </c>
      <c r="F21" s="92">
        <f>17000*0.7</f>
        <v>11900</v>
      </c>
      <c r="G21" s="93">
        <v>1.5</v>
      </c>
      <c r="H21" s="79">
        <v>1.2</v>
      </c>
      <c r="I21" s="75">
        <v>1</v>
      </c>
      <c r="J21" s="80">
        <f t="shared" si="10"/>
        <v>10</v>
      </c>
      <c r="K21" s="80">
        <v>2</v>
      </c>
      <c r="L21" s="87">
        <f t="shared" si="11"/>
        <v>2000</v>
      </c>
      <c r="M21" s="87">
        <f t="shared" si="12"/>
        <v>60000</v>
      </c>
      <c r="N21" s="87">
        <f t="shared" si="13"/>
        <v>30</v>
      </c>
      <c r="O21" s="87">
        <f t="shared" si="14"/>
        <v>7933.333333333333</v>
      </c>
      <c r="P21" s="93">
        <v>1.5</v>
      </c>
      <c r="Q21" s="79">
        <v>1.2</v>
      </c>
      <c r="R21" s="88">
        <f t="shared" si="15"/>
        <v>1333.3333333333333</v>
      </c>
      <c r="S21" s="88">
        <f>((D21/G21)*I21)*K21</f>
        <v>4000</v>
      </c>
      <c r="T21" s="1">
        <f t="shared" si="16"/>
        <v>30</v>
      </c>
      <c r="U21" s="1">
        <f t="shared" si="17"/>
        <v>23800</v>
      </c>
    </row>
    <row r="22" spans="1:24" x14ac:dyDescent="0.2">
      <c r="B22" s="94" t="s">
        <v>7</v>
      </c>
      <c r="C22" s="95">
        <v>5150</v>
      </c>
      <c r="D22" s="95">
        <v>0</v>
      </c>
      <c r="E22" s="95">
        <v>5</v>
      </c>
      <c r="F22" s="96">
        <v>13000</v>
      </c>
      <c r="G22" s="97">
        <v>2.4</v>
      </c>
      <c r="H22" s="98">
        <v>6</v>
      </c>
      <c r="I22" s="75">
        <v>1</v>
      </c>
      <c r="J22" s="80">
        <f t="shared" si="10"/>
        <v>0.66666666666666674</v>
      </c>
      <c r="K22" s="80">
        <v>2</v>
      </c>
      <c r="L22" s="87">
        <f t="shared" si="11"/>
        <v>3433.3333333333335</v>
      </c>
      <c r="M22" s="87">
        <f t="shared" si="12"/>
        <v>0</v>
      </c>
      <c r="N22" s="87">
        <f t="shared" si="13"/>
        <v>30</v>
      </c>
      <c r="O22" s="87">
        <f t="shared" si="14"/>
        <v>8666.6666666666661</v>
      </c>
      <c r="P22" s="97">
        <v>2.4</v>
      </c>
      <c r="Q22" s="98">
        <v>6</v>
      </c>
      <c r="R22" s="88">
        <f t="shared" si="15"/>
        <v>1430.5555555555557</v>
      </c>
      <c r="S22" s="88">
        <f t="shared" si="18"/>
        <v>4291.666666666667</v>
      </c>
      <c r="T22" s="1">
        <f t="shared" si="16"/>
        <v>30</v>
      </c>
      <c r="U22" s="1">
        <f t="shared" si="17"/>
        <v>26000</v>
      </c>
    </row>
    <row r="24" spans="1:24" x14ac:dyDescent="0.2">
      <c r="W24" s="1" t="s">
        <v>135</v>
      </c>
    </row>
    <row r="25" spans="1:24" x14ac:dyDescent="0.2">
      <c r="A25" s="1" t="s">
        <v>468</v>
      </c>
      <c r="B25" s="1" t="s">
        <v>469</v>
      </c>
      <c r="G25" s="100"/>
      <c r="H25" s="100"/>
      <c r="I25" s="100"/>
      <c r="J25" s="100"/>
      <c r="L25" s="1"/>
      <c r="T25" s="1">
        <f>S14/S4</f>
        <v>2</v>
      </c>
      <c r="V25" s="1">
        <f>C4*2</f>
        <v>150</v>
      </c>
      <c r="W25" s="1">
        <f>V25/G4*I4</f>
        <v>3750</v>
      </c>
      <c r="X25" s="1">
        <f>W25/S4</f>
        <v>2</v>
      </c>
    </row>
    <row r="26" spans="1:24" x14ac:dyDescent="0.2">
      <c r="B26" s="1" t="s">
        <v>470</v>
      </c>
      <c r="G26" s="100"/>
      <c r="H26" s="100"/>
      <c r="I26" s="100"/>
      <c r="J26" s="100"/>
      <c r="L26" s="1"/>
      <c r="T26" s="1">
        <f t="shared" ref="T26:T33" si="19">S15/S5</f>
        <v>2</v>
      </c>
      <c r="V26" s="1">
        <f t="shared" ref="V26:V34" si="20">C5*2</f>
        <v>40</v>
      </c>
      <c r="W26" s="1">
        <f t="shared" ref="W26:W34" si="21">V26/G5*I5</f>
        <v>666.66666666666674</v>
      </c>
      <c r="X26" s="1">
        <f t="shared" ref="X26:X34" si="22">W26/S5</f>
        <v>0.30769230769230771</v>
      </c>
    </row>
    <row r="27" spans="1:24" x14ac:dyDescent="0.2">
      <c r="G27" s="1">
        <v>10</v>
      </c>
      <c r="H27" s="1">
        <v>100</v>
      </c>
      <c r="I27" s="1">
        <v>50</v>
      </c>
      <c r="J27" s="1">
        <v>50</v>
      </c>
      <c r="K27" s="1">
        <v>100</v>
      </c>
      <c r="L27" s="1">
        <v>100</v>
      </c>
      <c r="T27" s="1">
        <f t="shared" si="19"/>
        <v>2</v>
      </c>
      <c r="V27" s="1">
        <f t="shared" si="20"/>
        <v>200</v>
      </c>
      <c r="W27" s="1">
        <f t="shared" si="21"/>
        <v>3846.1538461538462</v>
      </c>
      <c r="X27" s="1">
        <f t="shared" si="22"/>
        <v>2</v>
      </c>
    </row>
    <row r="28" spans="1:24" x14ac:dyDescent="0.2">
      <c r="A28" s="1" t="s">
        <v>466</v>
      </c>
      <c r="G28" s="221" t="s">
        <v>463</v>
      </c>
      <c r="H28" s="221"/>
      <c r="I28" s="221"/>
      <c r="J28" s="221"/>
      <c r="K28" s="221"/>
      <c r="L28" s="1"/>
      <c r="T28" s="1">
        <f t="shared" si="19"/>
        <v>2</v>
      </c>
      <c r="V28" s="1">
        <f t="shared" si="20"/>
        <v>1400</v>
      </c>
      <c r="W28" s="1">
        <f t="shared" si="21"/>
        <v>4000.0000000000005</v>
      </c>
      <c r="X28" s="1">
        <f t="shared" si="22"/>
        <v>2</v>
      </c>
    </row>
    <row r="29" spans="1:24" x14ac:dyDescent="0.2">
      <c r="A29" s="221" t="s">
        <v>472</v>
      </c>
      <c r="B29" s="221" t="s">
        <v>473</v>
      </c>
      <c r="C29" s="221" t="s">
        <v>474</v>
      </c>
      <c r="D29" s="221" t="s">
        <v>475</v>
      </c>
      <c r="E29" s="221" t="s">
        <v>476</v>
      </c>
      <c r="F29" s="221" t="s">
        <v>477</v>
      </c>
      <c r="G29" s="225" t="s">
        <v>472</v>
      </c>
      <c r="H29" s="226" t="s">
        <v>473</v>
      </c>
      <c r="I29" s="226" t="s">
        <v>474</v>
      </c>
      <c r="J29" s="226" t="s">
        <v>475</v>
      </c>
      <c r="K29" s="226" t="s">
        <v>476</v>
      </c>
      <c r="L29" s="226" t="s">
        <v>477</v>
      </c>
      <c r="M29" s="222" t="s">
        <v>471</v>
      </c>
      <c r="N29" s="222"/>
      <c r="O29" s="1"/>
      <c r="T29" s="1">
        <f t="shared" si="19"/>
        <v>2</v>
      </c>
      <c r="V29" s="1">
        <f t="shared" si="20"/>
        <v>200</v>
      </c>
      <c r="W29" s="1">
        <f t="shared" si="21"/>
        <v>615.38461538461536</v>
      </c>
      <c r="X29" s="1">
        <f t="shared" si="22"/>
        <v>0.90909090909090906</v>
      </c>
    </row>
    <row r="30" spans="1:24" x14ac:dyDescent="0.2">
      <c r="A30" s="119">
        <v>1</v>
      </c>
      <c r="B30" s="119">
        <v>1</v>
      </c>
      <c r="C30" s="119">
        <v>1.1000000000000001</v>
      </c>
      <c r="D30" s="119">
        <v>1.1000000000000001</v>
      </c>
      <c r="E30" s="119">
        <v>1</v>
      </c>
      <c r="F30" s="119">
        <v>1</v>
      </c>
      <c r="G30" s="224">
        <f>A30*G$27</f>
        <v>10</v>
      </c>
      <c r="H30" s="224">
        <f>B30*H$27</f>
        <v>100</v>
      </c>
      <c r="I30" s="224">
        <f>C30*I$27</f>
        <v>55.000000000000007</v>
      </c>
      <c r="J30" s="224">
        <f>D30*J$27</f>
        <v>55.000000000000007</v>
      </c>
      <c r="K30" s="224">
        <f>E30*K$27</f>
        <v>100</v>
      </c>
      <c r="L30" s="224">
        <f>F30*L$27</f>
        <v>100</v>
      </c>
      <c r="M30" s="174">
        <f>G30*1.01</f>
        <v>10.1</v>
      </c>
      <c r="N30" s="174">
        <f>H30*1.01</f>
        <v>101</v>
      </c>
      <c r="O30" s="174">
        <f>I30*1.01</f>
        <v>55.550000000000004</v>
      </c>
      <c r="P30" s="174">
        <f>J30*1.01</f>
        <v>55.550000000000004</v>
      </c>
      <c r="Q30" s="174">
        <f>K30*1.01</f>
        <v>101</v>
      </c>
      <c r="T30" s="1">
        <f t="shared" si="19"/>
        <v>2</v>
      </c>
      <c r="V30" s="1">
        <f t="shared" si="20"/>
        <v>1280</v>
      </c>
      <c r="W30" s="1">
        <f t="shared" si="21"/>
        <v>4266.666666666667</v>
      </c>
      <c r="X30" s="1">
        <f t="shared" si="22"/>
        <v>2</v>
      </c>
    </row>
    <row r="31" spans="1:24" x14ac:dyDescent="0.2">
      <c r="A31" s="119">
        <v>1</v>
      </c>
      <c r="B31" s="119">
        <v>1.01</v>
      </c>
      <c r="C31" s="119">
        <v>1.0900000000000001</v>
      </c>
      <c r="D31" s="119">
        <v>1.0900000000000001</v>
      </c>
      <c r="E31" s="119">
        <v>1</v>
      </c>
      <c r="F31" s="119">
        <v>1</v>
      </c>
      <c r="G31" s="224">
        <f>A31*G$27</f>
        <v>10</v>
      </c>
      <c r="H31" s="224">
        <f>B31*H$27</f>
        <v>101</v>
      </c>
      <c r="I31" s="224">
        <f>C31*I$27</f>
        <v>54.500000000000007</v>
      </c>
      <c r="J31" s="224">
        <f>D31*J$27</f>
        <v>54.500000000000007</v>
      </c>
      <c r="K31" s="224">
        <f>E31*K$27</f>
        <v>100</v>
      </c>
      <c r="L31" s="224">
        <f>F31*L$27</f>
        <v>100</v>
      </c>
      <c r="M31" s="174">
        <f>G31*1.01</f>
        <v>10.1</v>
      </c>
      <c r="N31" s="174">
        <f>H31*1.01</f>
        <v>102.01</v>
      </c>
      <c r="O31" s="174">
        <f>I31*1.01</f>
        <v>55.045000000000009</v>
      </c>
      <c r="P31" s="174">
        <f>J31*1.01</f>
        <v>55.045000000000009</v>
      </c>
      <c r="Q31" s="174">
        <f>K31*1.01</f>
        <v>101</v>
      </c>
      <c r="T31" s="1">
        <f t="shared" si="19"/>
        <v>2</v>
      </c>
      <c r="V31" s="1">
        <f t="shared" si="20"/>
        <v>6000</v>
      </c>
      <c r="W31" s="1">
        <f t="shared" si="21"/>
        <v>3529.4117647058824</v>
      </c>
      <c r="X31" s="1">
        <f t="shared" si="22"/>
        <v>2</v>
      </c>
    </row>
    <row r="32" spans="1:24" x14ac:dyDescent="0.2">
      <c r="A32" s="119">
        <v>1</v>
      </c>
      <c r="B32" s="119">
        <v>1.02</v>
      </c>
      <c r="C32" s="119">
        <v>1.08</v>
      </c>
      <c r="D32" s="119">
        <v>1.08</v>
      </c>
      <c r="E32" s="119">
        <v>1</v>
      </c>
      <c r="F32" s="119">
        <v>1</v>
      </c>
      <c r="G32" s="224">
        <f>A32*G$27</f>
        <v>10</v>
      </c>
      <c r="H32" s="224">
        <f>B32*H$27</f>
        <v>102</v>
      </c>
      <c r="I32" s="224">
        <f>C32*I$27</f>
        <v>54</v>
      </c>
      <c r="J32" s="224">
        <f>D32*J$27</f>
        <v>54</v>
      </c>
      <c r="K32" s="224">
        <f>E32*K$27</f>
        <v>100</v>
      </c>
      <c r="L32" s="224">
        <f>F32*L$27</f>
        <v>100</v>
      </c>
      <c r="M32" s="174">
        <f>G32*1.01</f>
        <v>10.1</v>
      </c>
      <c r="N32" s="174">
        <f>H32*1.01</f>
        <v>103.02</v>
      </c>
      <c r="O32" s="174">
        <f>I32*1.01</f>
        <v>54.54</v>
      </c>
      <c r="P32" s="174">
        <f>J32*1.01</f>
        <v>54.54</v>
      </c>
      <c r="Q32" s="174">
        <f>K32*1.01</f>
        <v>101</v>
      </c>
      <c r="T32" s="1">
        <f t="shared" si="19"/>
        <v>2</v>
      </c>
      <c r="V32" s="1">
        <f t="shared" si="20"/>
        <v>400</v>
      </c>
      <c r="W32" s="1">
        <f t="shared" si="21"/>
        <v>266.66666666666669</v>
      </c>
      <c r="X32" s="1">
        <f t="shared" si="22"/>
        <v>0.13333333333333333</v>
      </c>
    </row>
    <row r="33" spans="1:24" x14ac:dyDescent="0.2">
      <c r="A33" s="119">
        <v>1</v>
      </c>
      <c r="B33" s="119">
        <v>1.03</v>
      </c>
      <c r="C33" s="119">
        <v>1.07</v>
      </c>
      <c r="D33" s="119">
        <v>1.07</v>
      </c>
      <c r="E33" s="119">
        <v>1</v>
      </c>
      <c r="F33" s="119">
        <v>1</v>
      </c>
      <c r="G33" s="224">
        <f>A33*G$27</f>
        <v>10</v>
      </c>
      <c r="H33" s="224">
        <f>B33*H$27</f>
        <v>103</v>
      </c>
      <c r="I33" s="224">
        <f>C33*I$27</f>
        <v>53.5</v>
      </c>
      <c r="J33" s="224">
        <f>D33*J$27</f>
        <v>53.5</v>
      </c>
      <c r="K33" s="224">
        <f>E33*K$27</f>
        <v>100</v>
      </c>
      <c r="L33" s="224">
        <f>F33*L$27</f>
        <v>100</v>
      </c>
      <c r="M33" s="174">
        <f>G33*1.01</f>
        <v>10.1</v>
      </c>
      <c r="N33" s="174">
        <f>H33*1.01</f>
        <v>104.03</v>
      </c>
      <c r="O33" s="174">
        <f>I33*1.01</f>
        <v>54.035000000000004</v>
      </c>
      <c r="P33" s="174">
        <f>J33*1.01</f>
        <v>54.035000000000004</v>
      </c>
      <c r="Q33" s="174">
        <f>K33*1.01</f>
        <v>101</v>
      </c>
      <c r="T33" s="1">
        <f t="shared" si="19"/>
        <v>2</v>
      </c>
      <c r="V33" s="1">
        <f t="shared" si="20"/>
        <v>10300</v>
      </c>
      <c r="W33" s="1">
        <f t="shared" si="21"/>
        <v>4291.666666666667</v>
      </c>
      <c r="X33" s="1">
        <f t="shared" si="22"/>
        <v>2</v>
      </c>
    </row>
    <row r="34" spans="1:24" x14ac:dyDescent="0.2">
      <c r="A34" s="119">
        <v>1</v>
      </c>
      <c r="B34" s="119">
        <v>1.04</v>
      </c>
      <c r="C34" s="119">
        <v>1.06</v>
      </c>
      <c r="D34" s="119">
        <v>1.06</v>
      </c>
      <c r="E34" s="119">
        <v>1</v>
      </c>
      <c r="F34" s="119">
        <v>1</v>
      </c>
      <c r="G34" s="224">
        <f>A34*G$27</f>
        <v>10</v>
      </c>
      <c r="H34" s="224">
        <f>B34*H$27</f>
        <v>104</v>
      </c>
      <c r="I34" s="224">
        <f>C34*I$27</f>
        <v>53</v>
      </c>
      <c r="J34" s="224">
        <f>D34*J$27</f>
        <v>53</v>
      </c>
      <c r="K34" s="224">
        <f>E34*K$27</f>
        <v>100</v>
      </c>
      <c r="L34" s="224">
        <f>F34*L$27</f>
        <v>100</v>
      </c>
      <c r="M34" s="174">
        <f>G34*1.01</f>
        <v>10.1</v>
      </c>
      <c r="N34" s="174">
        <f>H34*1.01</f>
        <v>105.04</v>
      </c>
      <c r="O34" s="174">
        <f>I34*1.01</f>
        <v>53.53</v>
      </c>
      <c r="P34" s="174">
        <f>J34*1.01</f>
        <v>53.53</v>
      </c>
      <c r="Q34" s="174">
        <f>K34*1.01</f>
        <v>101</v>
      </c>
      <c r="V34" s="1">
        <f t="shared" si="20"/>
        <v>0</v>
      </c>
      <c r="W34" s="1" t="e">
        <f t="shared" si="21"/>
        <v>#DIV/0!</v>
      </c>
      <c r="X34" s="1" t="e">
        <f t="shared" si="22"/>
        <v>#DIV/0!</v>
      </c>
    </row>
    <row r="35" spans="1:24" x14ac:dyDescent="0.2">
      <c r="A35" s="119">
        <v>1</v>
      </c>
      <c r="B35" s="119">
        <v>1.05</v>
      </c>
      <c r="C35" s="119">
        <v>1.05</v>
      </c>
      <c r="D35" s="119">
        <v>1.05</v>
      </c>
      <c r="E35" s="119">
        <v>1</v>
      </c>
      <c r="F35" s="119">
        <v>1</v>
      </c>
      <c r="G35" s="224">
        <f>A35*G$27</f>
        <v>10</v>
      </c>
      <c r="H35" s="224">
        <f>B35*H$27</f>
        <v>105</v>
      </c>
      <c r="I35" s="224">
        <f>C35*I$27</f>
        <v>52.5</v>
      </c>
      <c r="J35" s="224">
        <f>D35*J$27</f>
        <v>52.5</v>
      </c>
      <c r="K35" s="224">
        <f>E35*K$27</f>
        <v>100</v>
      </c>
      <c r="L35" s="224">
        <f>F35*L$27</f>
        <v>100</v>
      </c>
      <c r="M35" s="174">
        <f>G35*1.01</f>
        <v>10.1</v>
      </c>
      <c r="N35" s="174">
        <f>H35*1.01</f>
        <v>106.05</v>
      </c>
      <c r="O35" s="174">
        <f>I35*1.01</f>
        <v>53.024999999999999</v>
      </c>
      <c r="P35" s="174">
        <f>J35*1.01</f>
        <v>53.024999999999999</v>
      </c>
      <c r="Q35" s="174">
        <f>K35*1.01</f>
        <v>101</v>
      </c>
    </row>
    <row r="36" spans="1:24" x14ac:dyDescent="0.2">
      <c r="A36" s="119">
        <v>1</v>
      </c>
      <c r="B36" s="119">
        <v>1.06</v>
      </c>
      <c r="C36" s="119">
        <v>1.04</v>
      </c>
      <c r="D36" s="119">
        <v>1.04</v>
      </c>
      <c r="E36" s="119">
        <v>1</v>
      </c>
      <c r="F36" s="119">
        <v>1</v>
      </c>
      <c r="G36" s="224">
        <f>A36*G$27</f>
        <v>10</v>
      </c>
      <c r="H36" s="224">
        <f>B36*H$27</f>
        <v>106</v>
      </c>
      <c r="I36" s="224">
        <f>C36*I$27</f>
        <v>52</v>
      </c>
      <c r="J36" s="224">
        <f>D36*J$27</f>
        <v>52</v>
      </c>
      <c r="K36" s="224">
        <f>E36*K$27</f>
        <v>100</v>
      </c>
      <c r="L36" s="224">
        <f>F36*L$27</f>
        <v>100</v>
      </c>
      <c r="M36" s="174">
        <f>G36*1.01</f>
        <v>10.1</v>
      </c>
      <c r="N36" s="174">
        <f>H36*1.01</f>
        <v>107.06</v>
      </c>
      <c r="O36" s="174">
        <f>I36*1.01</f>
        <v>52.52</v>
      </c>
      <c r="P36" s="174">
        <f>J36*1.01</f>
        <v>52.52</v>
      </c>
      <c r="Q36" s="174">
        <f>K36*1.01</f>
        <v>101</v>
      </c>
    </row>
    <row r="37" spans="1:24" x14ac:dyDescent="0.2">
      <c r="A37" s="119">
        <v>1</v>
      </c>
      <c r="B37" s="119">
        <v>1.07</v>
      </c>
      <c r="C37" s="119">
        <v>1.03</v>
      </c>
      <c r="D37" s="119">
        <v>1.03</v>
      </c>
      <c r="E37" s="119">
        <v>1</v>
      </c>
      <c r="F37" s="119">
        <v>1</v>
      </c>
      <c r="G37" s="224">
        <f>A37*G$27</f>
        <v>10</v>
      </c>
      <c r="H37" s="224">
        <f>B37*H$27</f>
        <v>107</v>
      </c>
      <c r="I37" s="224">
        <f>C37*I$27</f>
        <v>51.5</v>
      </c>
      <c r="J37" s="224">
        <f>D37*J$27</f>
        <v>51.5</v>
      </c>
      <c r="K37" s="224">
        <f>E37*K$27</f>
        <v>100</v>
      </c>
      <c r="L37" s="224">
        <f>F37*L$27</f>
        <v>100</v>
      </c>
      <c r="M37" s="174">
        <f>G37*1.01</f>
        <v>10.1</v>
      </c>
      <c r="N37" s="174">
        <f>H37*1.01</f>
        <v>108.07000000000001</v>
      </c>
      <c r="O37" s="174">
        <f>I37*1.01</f>
        <v>52.015000000000001</v>
      </c>
      <c r="P37" s="174">
        <f>J37*1.01</f>
        <v>52.015000000000001</v>
      </c>
      <c r="Q37" s="174">
        <f>K37*1.01</f>
        <v>101</v>
      </c>
    </row>
    <row r="38" spans="1:24" x14ac:dyDescent="0.2">
      <c r="A38" s="119">
        <v>1</v>
      </c>
      <c r="B38" s="119">
        <v>1.08</v>
      </c>
      <c r="C38" s="119">
        <v>1.02</v>
      </c>
      <c r="D38" s="119">
        <v>1.02</v>
      </c>
      <c r="E38" s="119">
        <v>1</v>
      </c>
      <c r="F38" s="119">
        <v>1</v>
      </c>
      <c r="G38" s="224">
        <f>A38*G$27</f>
        <v>10</v>
      </c>
      <c r="H38" s="224">
        <f>B38*H$27</f>
        <v>108</v>
      </c>
      <c r="I38" s="224">
        <f>C38*I$27</f>
        <v>51</v>
      </c>
      <c r="J38" s="224">
        <f>D38*J$27</f>
        <v>51</v>
      </c>
      <c r="K38" s="224">
        <f>E38*K$27</f>
        <v>100</v>
      </c>
      <c r="L38" s="224">
        <f>F38*L$27</f>
        <v>100</v>
      </c>
      <c r="M38" s="174">
        <f>G38*1.01</f>
        <v>10.1</v>
      </c>
      <c r="N38" s="174">
        <f>H38*1.01</f>
        <v>109.08</v>
      </c>
      <c r="O38" s="174">
        <f>I38*1.01</f>
        <v>51.51</v>
      </c>
      <c r="P38" s="174">
        <f>J38*1.01</f>
        <v>51.51</v>
      </c>
      <c r="Q38" s="174">
        <f>K38*1.01</f>
        <v>101</v>
      </c>
    </row>
    <row r="39" spans="1:24" x14ac:dyDescent="0.2">
      <c r="A39" s="119">
        <v>1</v>
      </c>
      <c r="B39" s="119">
        <v>1.0900000000000001</v>
      </c>
      <c r="C39" s="119">
        <v>1.01</v>
      </c>
      <c r="D39" s="119">
        <v>1.01</v>
      </c>
      <c r="E39" s="119">
        <v>1</v>
      </c>
      <c r="F39" s="119">
        <v>1</v>
      </c>
      <c r="G39" s="224">
        <f>A39*G$27</f>
        <v>10</v>
      </c>
      <c r="H39" s="224">
        <f>B39*H$27</f>
        <v>109.00000000000001</v>
      </c>
      <c r="I39" s="224">
        <f>C39*I$27</f>
        <v>50.5</v>
      </c>
      <c r="J39" s="224">
        <f>D39*J$27</f>
        <v>50.5</v>
      </c>
      <c r="K39" s="224">
        <f>E39*K$27</f>
        <v>100</v>
      </c>
      <c r="L39" s="224">
        <f>F39*L$27</f>
        <v>100</v>
      </c>
      <c r="M39" s="174">
        <f>G39*1.01</f>
        <v>10.1</v>
      </c>
      <c r="N39" s="174">
        <f>H39*1.01</f>
        <v>110.09000000000002</v>
      </c>
      <c r="O39" s="174">
        <f>I39*1.01</f>
        <v>51.005000000000003</v>
      </c>
      <c r="P39" s="174">
        <f>J39*1.01</f>
        <v>51.005000000000003</v>
      </c>
      <c r="Q39" s="174">
        <f>K39*1.01</f>
        <v>101</v>
      </c>
    </row>
    <row r="40" spans="1:24" x14ac:dyDescent="0.2">
      <c r="A40" s="119">
        <v>1</v>
      </c>
      <c r="B40" s="119">
        <v>1.1000000000000001</v>
      </c>
      <c r="C40" s="119">
        <v>1</v>
      </c>
      <c r="D40" s="119">
        <v>1</v>
      </c>
      <c r="E40" s="119">
        <v>1</v>
      </c>
      <c r="F40" s="119">
        <v>1</v>
      </c>
      <c r="G40" s="224">
        <f>A40*G$27</f>
        <v>10</v>
      </c>
      <c r="H40" s="224">
        <f>B40*H$27</f>
        <v>110.00000000000001</v>
      </c>
      <c r="I40" s="224">
        <f>C40*I$27</f>
        <v>50</v>
      </c>
      <c r="J40" s="224">
        <f>D40*J$27</f>
        <v>50</v>
      </c>
      <c r="K40" s="224">
        <f>E40*K$27</f>
        <v>100</v>
      </c>
      <c r="L40" s="224">
        <f>F40*L$27</f>
        <v>100</v>
      </c>
      <c r="M40" s="174">
        <f>G40*1.01</f>
        <v>10.1</v>
      </c>
      <c r="N40" s="174">
        <f>H40*1.01</f>
        <v>111.10000000000001</v>
      </c>
      <c r="O40" s="174">
        <f>I40*1.01</f>
        <v>50.5</v>
      </c>
      <c r="P40" s="174">
        <f>J40*1.01</f>
        <v>50.5</v>
      </c>
      <c r="Q40" s="174">
        <f>K40*1.01</f>
        <v>101</v>
      </c>
    </row>
    <row r="41" spans="1:24" x14ac:dyDescent="0.2">
      <c r="A41" s="119"/>
      <c r="B41" s="119"/>
      <c r="C41" s="119"/>
      <c r="D41" s="119"/>
      <c r="E41" s="119"/>
      <c r="F41" s="119"/>
      <c r="G41" s="16"/>
      <c r="H41" s="16"/>
      <c r="I41" s="16"/>
      <c r="J41" s="16"/>
      <c r="K41" s="16"/>
      <c r="L41" s="16"/>
      <c r="M41" s="1"/>
      <c r="N41" s="1"/>
      <c r="O41" s="1"/>
    </row>
    <row r="42" spans="1:24" x14ac:dyDescent="0.2">
      <c r="A42" s="119"/>
      <c r="B42" s="119"/>
      <c r="C42" s="119"/>
      <c r="D42" s="119"/>
      <c r="E42" s="119"/>
      <c r="F42" s="119"/>
      <c r="G42" s="16"/>
      <c r="H42" s="16"/>
      <c r="I42" s="16"/>
      <c r="J42" s="16"/>
      <c r="K42" s="16"/>
      <c r="L42" s="16"/>
      <c r="M42" s="1"/>
      <c r="N42" s="1"/>
      <c r="O42" s="1"/>
    </row>
    <row r="43" spans="1:24" x14ac:dyDescent="0.2">
      <c r="A43" s="119"/>
      <c r="G43" s="1">
        <v>100</v>
      </c>
      <c r="H43" s="1">
        <v>0</v>
      </c>
      <c r="I43" s="1">
        <v>100</v>
      </c>
      <c r="J43" s="1">
        <v>100</v>
      </c>
      <c r="K43" s="1">
        <v>100</v>
      </c>
      <c r="L43" s="1">
        <v>100</v>
      </c>
      <c r="M43" s="1"/>
      <c r="N43" s="1"/>
      <c r="O43" s="1"/>
    </row>
    <row r="44" spans="1:24" x14ac:dyDescent="0.2">
      <c r="A44" s="119" t="s">
        <v>467</v>
      </c>
      <c r="G44" s="221" t="s">
        <v>463</v>
      </c>
      <c r="H44" s="221"/>
      <c r="I44" s="221"/>
      <c r="J44" s="221"/>
      <c r="K44" s="221"/>
      <c r="L44" s="1"/>
      <c r="M44" s="1"/>
      <c r="N44" s="1"/>
      <c r="O44" s="1"/>
    </row>
    <row r="45" spans="1:24" x14ac:dyDescent="0.2">
      <c r="A45" s="221" t="s">
        <v>464</v>
      </c>
      <c r="B45" s="1" t="s">
        <v>465</v>
      </c>
      <c r="C45" s="221" t="s">
        <v>474</v>
      </c>
      <c r="D45" s="221" t="s">
        <v>475</v>
      </c>
      <c r="E45" s="221" t="s">
        <v>476</v>
      </c>
      <c r="F45" s="221" t="s">
        <v>477</v>
      </c>
      <c r="G45" s="223" t="s">
        <v>472</v>
      </c>
      <c r="H45" s="221" t="s">
        <v>473</v>
      </c>
      <c r="I45" s="221" t="s">
        <v>474</v>
      </c>
      <c r="J45" s="221" t="s">
        <v>475</v>
      </c>
      <c r="K45" s="221" t="s">
        <v>476</v>
      </c>
      <c r="L45" s="221" t="s">
        <v>477</v>
      </c>
      <c r="M45" s="222" t="s">
        <v>471</v>
      </c>
      <c r="N45" s="222"/>
      <c r="O45" s="1"/>
    </row>
    <row r="46" spans="1:24" x14ac:dyDescent="0.2">
      <c r="A46" s="119">
        <v>1</v>
      </c>
      <c r="B46" s="119">
        <v>1</v>
      </c>
      <c r="C46" s="119">
        <v>1.1000000000000001</v>
      </c>
      <c r="D46" s="119">
        <v>1.1000000000000001</v>
      </c>
      <c r="E46" s="119">
        <v>1</v>
      </c>
      <c r="F46" s="119">
        <v>1</v>
      </c>
      <c r="G46" s="224">
        <f>A46*G$43</f>
        <v>100</v>
      </c>
      <c r="H46" s="224">
        <f>B46*H$43</f>
        <v>0</v>
      </c>
      <c r="I46" s="227">
        <f>C46*I$43</f>
        <v>110.00000000000001</v>
      </c>
      <c r="J46" s="224">
        <f>D46*J$43</f>
        <v>110.00000000000001</v>
      </c>
      <c r="K46" s="224">
        <f>E46*K$43</f>
        <v>100</v>
      </c>
      <c r="L46" s="224">
        <f>F46*L$43</f>
        <v>100</v>
      </c>
      <c r="M46" s="174">
        <f>G46*1.01</f>
        <v>101</v>
      </c>
      <c r="N46" s="174">
        <f>H46*1.01</f>
        <v>0</v>
      </c>
      <c r="O46" s="174">
        <f>I46*1.01</f>
        <v>111.10000000000001</v>
      </c>
      <c r="P46" s="174">
        <f>J46*1.01</f>
        <v>111.10000000000001</v>
      </c>
      <c r="Q46" s="174">
        <f>K46*1.01</f>
        <v>101</v>
      </c>
    </row>
    <row r="47" spans="1:24" x14ac:dyDescent="0.2">
      <c r="A47" s="119">
        <v>1.01</v>
      </c>
      <c r="B47" s="119">
        <v>1</v>
      </c>
      <c r="C47" s="119">
        <v>1.0900000000000001</v>
      </c>
      <c r="D47" s="119">
        <v>1.0900000000000001</v>
      </c>
      <c r="E47" s="119">
        <v>1</v>
      </c>
      <c r="F47" s="119">
        <v>1</v>
      </c>
      <c r="G47" s="224">
        <f>A47*G$43</f>
        <v>101</v>
      </c>
      <c r="H47" s="224">
        <f>B47*H$43</f>
        <v>0</v>
      </c>
      <c r="I47" s="227">
        <f>C47*I$43</f>
        <v>109.00000000000001</v>
      </c>
      <c r="J47" s="224">
        <f>D47*J$43</f>
        <v>109.00000000000001</v>
      </c>
      <c r="K47" s="224">
        <f>E47*K$43</f>
        <v>100</v>
      </c>
      <c r="L47" s="224">
        <f>F47*L$43</f>
        <v>100</v>
      </c>
      <c r="M47" s="174">
        <f>G47*1.01</f>
        <v>102.01</v>
      </c>
      <c r="N47" s="174">
        <f>H47*1.01</f>
        <v>0</v>
      </c>
      <c r="O47" s="174">
        <f>I47*1.01</f>
        <v>110.09000000000002</v>
      </c>
      <c r="P47" s="174">
        <f>J47*1.01</f>
        <v>110.09000000000002</v>
      </c>
      <c r="Q47" s="174">
        <f>K47*1.01</f>
        <v>101</v>
      </c>
    </row>
    <row r="48" spans="1:24" x14ac:dyDescent="0.2">
      <c r="A48" s="119">
        <v>1.02</v>
      </c>
      <c r="B48" s="119">
        <v>1</v>
      </c>
      <c r="C48" s="119">
        <v>1.08</v>
      </c>
      <c r="D48" s="119">
        <v>1.08</v>
      </c>
      <c r="E48" s="119">
        <v>1</v>
      </c>
      <c r="F48" s="119">
        <v>1</v>
      </c>
      <c r="G48" s="224">
        <f>A48*G$43</f>
        <v>102</v>
      </c>
      <c r="H48" s="224">
        <f>B48*H$43</f>
        <v>0</v>
      </c>
      <c r="I48" s="227">
        <f>C48*I$43</f>
        <v>108</v>
      </c>
      <c r="J48" s="224">
        <f>D48*J$43</f>
        <v>108</v>
      </c>
      <c r="K48" s="224">
        <f>E48*K$43</f>
        <v>100</v>
      </c>
      <c r="L48" s="224">
        <f>F48*L$43</f>
        <v>100</v>
      </c>
      <c r="M48" s="174">
        <f>G48*1.01</f>
        <v>103.02</v>
      </c>
      <c r="N48" s="174">
        <f>H48*1.01</f>
        <v>0</v>
      </c>
      <c r="O48" s="174">
        <f>I48*1.01</f>
        <v>109.08</v>
      </c>
      <c r="P48" s="174">
        <f>J48*1.01</f>
        <v>109.08</v>
      </c>
      <c r="Q48" s="174">
        <f>K48*1.01</f>
        <v>101</v>
      </c>
    </row>
    <row r="49" spans="1:17" x14ac:dyDescent="0.2">
      <c r="A49" s="119">
        <v>1.03</v>
      </c>
      <c r="B49" s="119">
        <v>1</v>
      </c>
      <c r="C49" s="119">
        <v>1.07</v>
      </c>
      <c r="D49" s="119">
        <v>1.07</v>
      </c>
      <c r="E49" s="119">
        <v>1</v>
      </c>
      <c r="F49" s="119">
        <v>1</v>
      </c>
      <c r="G49" s="224">
        <f>A49*G$43</f>
        <v>103</v>
      </c>
      <c r="H49" s="224">
        <f>B49*H$43</f>
        <v>0</v>
      </c>
      <c r="I49" s="227">
        <f>C49*I$43</f>
        <v>107</v>
      </c>
      <c r="J49" s="224">
        <f>D49*J$43</f>
        <v>107</v>
      </c>
      <c r="K49" s="224">
        <f>E49*K$43</f>
        <v>100</v>
      </c>
      <c r="L49" s="224">
        <f>F49*L$43</f>
        <v>100</v>
      </c>
      <c r="M49" s="174">
        <f>G49*1.01</f>
        <v>104.03</v>
      </c>
      <c r="N49" s="174">
        <f>H49*1.01</f>
        <v>0</v>
      </c>
      <c r="O49" s="174">
        <f>I49*1.01</f>
        <v>108.07000000000001</v>
      </c>
      <c r="P49" s="174">
        <f>J49*1.01</f>
        <v>108.07000000000001</v>
      </c>
      <c r="Q49" s="174">
        <f>K49*1.01</f>
        <v>101</v>
      </c>
    </row>
    <row r="50" spans="1:17" x14ac:dyDescent="0.2">
      <c r="A50" s="119">
        <v>1.04</v>
      </c>
      <c r="B50" s="119">
        <v>1</v>
      </c>
      <c r="C50" s="119">
        <v>1.06</v>
      </c>
      <c r="D50" s="119">
        <v>1.06</v>
      </c>
      <c r="E50" s="119">
        <v>1</v>
      </c>
      <c r="F50" s="119">
        <v>1</v>
      </c>
      <c r="G50" s="224">
        <f>A50*G$43</f>
        <v>104</v>
      </c>
      <c r="H50" s="224">
        <f>B50*H$43</f>
        <v>0</v>
      </c>
      <c r="I50" s="227">
        <f>C50*I$43</f>
        <v>106</v>
      </c>
      <c r="J50" s="224">
        <f>D50*J$43</f>
        <v>106</v>
      </c>
      <c r="K50" s="224">
        <f>E50*K$43</f>
        <v>100</v>
      </c>
      <c r="L50" s="224">
        <f>F50*L$43</f>
        <v>100</v>
      </c>
      <c r="M50" s="174">
        <f>G50*1.01</f>
        <v>105.04</v>
      </c>
      <c r="N50" s="174">
        <f>H50*1.01</f>
        <v>0</v>
      </c>
      <c r="O50" s="174">
        <f>I50*1.01</f>
        <v>107.06</v>
      </c>
      <c r="P50" s="174">
        <f>J50*1.01</f>
        <v>107.06</v>
      </c>
      <c r="Q50" s="174">
        <f>K50*1.01</f>
        <v>101</v>
      </c>
    </row>
    <row r="51" spans="1:17" x14ac:dyDescent="0.2">
      <c r="A51" s="119">
        <v>1.05</v>
      </c>
      <c r="B51" s="119">
        <v>1</v>
      </c>
      <c r="C51" s="119">
        <v>1.05</v>
      </c>
      <c r="D51" s="119">
        <v>1.05</v>
      </c>
      <c r="E51" s="119">
        <v>1</v>
      </c>
      <c r="F51" s="119">
        <v>1</v>
      </c>
      <c r="G51" s="224">
        <f>A51*G$43</f>
        <v>105</v>
      </c>
      <c r="H51" s="224">
        <f>B51*H$43</f>
        <v>0</v>
      </c>
      <c r="I51" s="227">
        <f>C51*I$43</f>
        <v>105</v>
      </c>
      <c r="J51" s="224">
        <f>D51*J$43</f>
        <v>105</v>
      </c>
      <c r="K51" s="224">
        <f>E51*K$43</f>
        <v>100</v>
      </c>
      <c r="L51" s="224">
        <f>F51*L$43</f>
        <v>100</v>
      </c>
      <c r="M51" s="174">
        <f>G51*1.01</f>
        <v>106.05</v>
      </c>
      <c r="N51" s="174">
        <f>H51*1.01</f>
        <v>0</v>
      </c>
      <c r="O51" s="174">
        <f>I51*1.01</f>
        <v>106.05</v>
      </c>
      <c r="P51" s="174">
        <f>J51*1.01</f>
        <v>106.05</v>
      </c>
      <c r="Q51" s="174">
        <f>K51*1.01</f>
        <v>101</v>
      </c>
    </row>
    <row r="52" spans="1:17" x14ac:dyDescent="0.2">
      <c r="A52" s="119">
        <v>1.06</v>
      </c>
      <c r="B52" s="119">
        <v>1</v>
      </c>
      <c r="C52" s="119">
        <v>1.04</v>
      </c>
      <c r="D52" s="119">
        <v>1.04</v>
      </c>
      <c r="E52" s="119">
        <v>1</v>
      </c>
      <c r="F52" s="119">
        <v>1</v>
      </c>
      <c r="G52" s="224">
        <f>A52*G$43</f>
        <v>106</v>
      </c>
      <c r="H52" s="224">
        <f>B52*H$43</f>
        <v>0</v>
      </c>
      <c r="I52" s="227">
        <f>C52*I$43</f>
        <v>104</v>
      </c>
      <c r="J52" s="224">
        <f>D52*J$43</f>
        <v>104</v>
      </c>
      <c r="K52" s="224">
        <f>E52*K$43</f>
        <v>100</v>
      </c>
      <c r="L52" s="224">
        <f>F52*L$43</f>
        <v>100</v>
      </c>
      <c r="M52" s="174">
        <f>G52*1.01</f>
        <v>107.06</v>
      </c>
      <c r="N52" s="174">
        <f>H52*1.01</f>
        <v>0</v>
      </c>
      <c r="O52" s="174">
        <f>I52*1.01</f>
        <v>105.04</v>
      </c>
      <c r="P52" s="174">
        <f>J52*1.01</f>
        <v>105.04</v>
      </c>
      <c r="Q52" s="174">
        <f>K52*1.01</f>
        <v>101</v>
      </c>
    </row>
    <row r="53" spans="1:17" x14ac:dyDescent="0.2">
      <c r="A53" s="119">
        <v>1.07</v>
      </c>
      <c r="B53" s="119">
        <v>1</v>
      </c>
      <c r="C53" s="119">
        <v>1.03</v>
      </c>
      <c r="D53" s="119">
        <v>1.03</v>
      </c>
      <c r="E53" s="119">
        <v>1</v>
      </c>
      <c r="F53" s="119">
        <v>1</v>
      </c>
      <c r="G53" s="224">
        <f>A53*G$43</f>
        <v>107</v>
      </c>
      <c r="H53" s="224">
        <f>B53*H$43</f>
        <v>0</v>
      </c>
      <c r="I53" s="227">
        <f>C53*I$43</f>
        <v>103</v>
      </c>
      <c r="J53" s="224">
        <f>D53*J$43</f>
        <v>103</v>
      </c>
      <c r="K53" s="224">
        <f>E53*K$43</f>
        <v>100</v>
      </c>
      <c r="L53" s="224">
        <f>F53*L$43</f>
        <v>100</v>
      </c>
      <c r="M53" s="174">
        <f>G53*1.01</f>
        <v>108.07000000000001</v>
      </c>
      <c r="N53" s="174">
        <f>H53*1.01</f>
        <v>0</v>
      </c>
      <c r="O53" s="174">
        <f>I53*1.01</f>
        <v>104.03</v>
      </c>
      <c r="P53" s="174">
        <f>J53*1.01</f>
        <v>104.03</v>
      </c>
      <c r="Q53" s="174">
        <f>K53*1.01</f>
        <v>101</v>
      </c>
    </row>
    <row r="54" spans="1:17" x14ac:dyDescent="0.2">
      <c r="A54" s="119">
        <v>1.08</v>
      </c>
      <c r="B54" s="119">
        <v>1</v>
      </c>
      <c r="C54" s="119">
        <v>1.02</v>
      </c>
      <c r="D54" s="119">
        <v>1.02</v>
      </c>
      <c r="E54" s="119">
        <v>1</v>
      </c>
      <c r="F54" s="119">
        <v>1</v>
      </c>
      <c r="G54" s="224">
        <f>A54*G$43</f>
        <v>108</v>
      </c>
      <c r="H54" s="224">
        <f>B54*H$43</f>
        <v>0</v>
      </c>
      <c r="I54" s="227">
        <f>C54*I$43</f>
        <v>102</v>
      </c>
      <c r="J54" s="224">
        <f>D54*J$43</f>
        <v>102</v>
      </c>
      <c r="K54" s="224">
        <f>E54*K$43</f>
        <v>100</v>
      </c>
      <c r="L54" s="224">
        <f>F54*L$43</f>
        <v>100</v>
      </c>
      <c r="M54" s="174">
        <f>G54*1.01</f>
        <v>109.08</v>
      </c>
      <c r="N54" s="174">
        <f>H54*1.01</f>
        <v>0</v>
      </c>
      <c r="O54" s="174">
        <f>I54*1.01</f>
        <v>103.02</v>
      </c>
      <c r="P54" s="174">
        <f>J54*1.01</f>
        <v>103.02</v>
      </c>
      <c r="Q54" s="174">
        <f>K54*1.01</f>
        <v>101</v>
      </c>
    </row>
    <row r="55" spans="1:17" x14ac:dyDescent="0.2">
      <c r="A55" s="119">
        <v>1.0900000000000001</v>
      </c>
      <c r="B55" s="119">
        <v>1</v>
      </c>
      <c r="C55" s="119">
        <v>1.01</v>
      </c>
      <c r="D55" s="119">
        <v>1.01</v>
      </c>
      <c r="E55" s="119">
        <v>1</v>
      </c>
      <c r="F55" s="119">
        <v>1</v>
      </c>
      <c r="G55" s="224">
        <f>A55*G$43</f>
        <v>109.00000000000001</v>
      </c>
      <c r="H55" s="224">
        <f>B55*H$43</f>
        <v>0</v>
      </c>
      <c r="I55" s="227">
        <f>C55*I$43</f>
        <v>101</v>
      </c>
      <c r="J55" s="224">
        <f>D55*J$43</f>
        <v>101</v>
      </c>
      <c r="K55" s="224">
        <f>E55*K$43</f>
        <v>100</v>
      </c>
      <c r="L55" s="224">
        <f>F55*L$43</f>
        <v>100</v>
      </c>
      <c r="M55" s="174">
        <f>G55*1.01</f>
        <v>110.09000000000002</v>
      </c>
      <c r="N55" s="174">
        <f>H55*1.01</f>
        <v>0</v>
      </c>
      <c r="O55" s="174">
        <f>I55*1.01</f>
        <v>102.01</v>
      </c>
      <c r="P55" s="174">
        <f>J55*1.01</f>
        <v>102.01</v>
      </c>
      <c r="Q55" s="174">
        <f>K55*1.01</f>
        <v>101</v>
      </c>
    </row>
    <row r="56" spans="1:17" x14ac:dyDescent="0.2">
      <c r="A56" s="119">
        <v>1.1000000000000001</v>
      </c>
      <c r="B56" s="119">
        <v>1</v>
      </c>
      <c r="C56" s="119">
        <v>1</v>
      </c>
      <c r="D56" s="119">
        <v>1</v>
      </c>
      <c r="E56" s="119">
        <v>1</v>
      </c>
      <c r="F56" s="119">
        <v>1</v>
      </c>
      <c r="G56" s="224">
        <f>A56*G$43</f>
        <v>110.00000000000001</v>
      </c>
      <c r="H56" s="224">
        <f>B56*H$43</f>
        <v>0</v>
      </c>
      <c r="I56" s="227">
        <f>C56*I$43</f>
        <v>100</v>
      </c>
      <c r="J56" s="224">
        <f>D56*J$43</f>
        <v>100</v>
      </c>
      <c r="K56" s="224">
        <f>E56*K$43</f>
        <v>100</v>
      </c>
      <c r="L56" s="224">
        <f>F56*L$43</f>
        <v>100</v>
      </c>
      <c r="M56" s="174">
        <f>G56*1.01</f>
        <v>111.10000000000001</v>
      </c>
      <c r="N56" s="174">
        <f>H56*1.01</f>
        <v>0</v>
      </c>
      <c r="O56" s="174">
        <f>I56*1.01</f>
        <v>101</v>
      </c>
      <c r="P56" s="174">
        <f>J56*1.01</f>
        <v>101</v>
      </c>
      <c r="Q56" s="174">
        <f>K56*1.01</f>
        <v>101</v>
      </c>
    </row>
    <row r="57" spans="1:17" x14ac:dyDescent="0.2">
      <c r="F57" s="119"/>
    </row>
    <row r="58" spans="1:17" x14ac:dyDescent="0.2">
      <c r="F58" s="119"/>
    </row>
    <row r="59" spans="1:17" x14ac:dyDescent="0.2">
      <c r="F59" s="119"/>
    </row>
    <row r="60" spans="1:17" x14ac:dyDescent="0.2">
      <c r="F60" s="119"/>
    </row>
    <row r="61" spans="1:17" x14ac:dyDescent="0.2">
      <c r="F61" s="119"/>
    </row>
    <row r="62" spans="1:17" x14ac:dyDescent="0.2">
      <c r="F62" s="119"/>
    </row>
  </sheetData>
  <mergeCells count="2">
    <mergeCell ref="M45:N45"/>
    <mergeCell ref="M29:N29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126"/>
  <sheetViews>
    <sheetView topLeftCell="A84" workbookViewId="0">
      <selection activeCell="G97" sqref="G97"/>
    </sheetView>
  </sheetViews>
  <sheetFormatPr defaultRowHeight="11.25" x14ac:dyDescent="0.2"/>
  <cols>
    <col min="1" max="2" width="9" style="1"/>
    <col min="3" max="3" width="9" style="101"/>
    <col min="4" max="24" width="9" style="1"/>
    <col min="25" max="25" width="9" style="119"/>
    <col min="26" max="16384" width="9" style="1"/>
  </cols>
  <sheetData>
    <row r="1" spans="1:27" x14ac:dyDescent="0.2">
      <c r="A1" s="1" t="s">
        <v>161</v>
      </c>
      <c r="B1" s="1" t="s">
        <v>163</v>
      </c>
      <c r="C1" s="101" t="s">
        <v>162</v>
      </c>
      <c r="D1" s="1" t="s">
        <v>158</v>
      </c>
      <c r="E1" s="1" t="s">
        <v>159</v>
      </c>
      <c r="F1" s="1" t="s">
        <v>164</v>
      </c>
      <c r="Z1" s="1" t="s">
        <v>177</v>
      </c>
      <c r="AA1" s="1" t="s">
        <v>185</v>
      </c>
    </row>
    <row r="2" spans="1:27" x14ac:dyDescent="0.2">
      <c r="A2" s="1">
        <v>1</v>
      </c>
      <c r="B2" s="1">
        <v>3</v>
      </c>
      <c r="C2" s="101">
        <f>A2</f>
        <v>1</v>
      </c>
      <c r="D2" s="1">
        <v>1</v>
      </c>
      <c r="E2" s="1">
        <v>1</v>
      </c>
      <c r="I2" s="101" t="s">
        <v>141</v>
      </c>
      <c r="J2" s="101"/>
      <c r="K2" s="101"/>
      <c r="L2" s="101"/>
      <c r="M2" s="101"/>
      <c r="N2" s="101"/>
      <c r="Z2" s="1" t="s">
        <v>182</v>
      </c>
      <c r="AA2" s="1" t="s">
        <v>183</v>
      </c>
    </row>
    <row r="3" spans="1:27" x14ac:dyDescent="0.2">
      <c r="A3" s="1">
        <v>2</v>
      </c>
      <c r="C3" s="101">
        <f t="shared" ref="C3:C51" si="0">A3</f>
        <v>2</v>
      </c>
      <c r="D3" s="1">
        <v>1</v>
      </c>
      <c r="E3" s="1">
        <v>1</v>
      </c>
      <c r="I3" s="101" t="s">
        <v>142</v>
      </c>
      <c r="J3" s="101"/>
      <c r="K3" s="101"/>
      <c r="L3" s="101"/>
      <c r="M3" s="101"/>
      <c r="N3" s="101"/>
      <c r="T3" s="103" t="s">
        <v>184</v>
      </c>
      <c r="U3" s="103" t="s">
        <v>174</v>
      </c>
      <c r="V3" s="103" t="s">
        <v>211</v>
      </c>
      <c r="W3" s="103" t="s">
        <v>212</v>
      </c>
      <c r="X3" s="103" t="s">
        <v>213</v>
      </c>
      <c r="Y3" s="120" t="s">
        <v>176</v>
      </c>
      <c r="Z3" s="1">
        <v>1.6</v>
      </c>
      <c r="AA3" s="1">
        <v>1</v>
      </c>
    </row>
    <row r="4" spans="1:27" x14ac:dyDescent="0.2">
      <c r="A4" s="101">
        <v>3</v>
      </c>
      <c r="B4" s="101"/>
      <c r="C4" s="101">
        <f t="shared" si="0"/>
        <v>3</v>
      </c>
      <c r="D4" s="1">
        <v>2</v>
      </c>
      <c r="E4" s="1">
        <v>1</v>
      </c>
      <c r="I4" s="101" t="s">
        <v>143</v>
      </c>
      <c r="J4" s="101"/>
      <c r="K4" s="101"/>
      <c r="L4" s="101"/>
      <c r="M4" s="101"/>
      <c r="N4" s="101"/>
      <c r="T4" s="1">
        <v>1</v>
      </c>
      <c r="U4" s="102">
        <v>0</v>
      </c>
      <c r="V4" s="102">
        <v>0</v>
      </c>
      <c r="W4" s="102">
        <v>0</v>
      </c>
      <c r="X4" s="102">
        <v>0</v>
      </c>
      <c r="Z4" s="1">
        <f t="shared" ref="Z4:AA23" si="1">10000+(($T4-1)*point_per_hlevel)*Z$3</f>
        <v>10000</v>
      </c>
      <c r="AA4" s="1">
        <f t="shared" si="1"/>
        <v>10000</v>
      </c>
    </row>
    <row r="5" spans="1:27" x14ac:dyDescent="0.2">
      <c r="A5" s="101">
        <v>4</v>
      </c>
      <c r="B5" s="101"/>
      <c r="C5" s="101">
        <f t="shared" si="0"/>
        <v>4</v>
      </c>
      <c r="D5" s="1">
        <v>3</v>
      </c>
      <c r="E5" s="1">
        <v>1</v>
      </c>
      <c r="I5" s="101" t="s">
        <v>144</v>
      </c>
      <c r="J5" s="101"/>
      <c r="K5" s="101"/>
      <c r="L5" s="101"/>
      <c r="M5" s="101"/>
      <c r="N5" s="101"/>
      <c r="T5" s="1">
        <v>2</v>
      </c>
      <c r="U5" s="102">
        <f>U4+0.04</f>
        <v>0.04</v>
      </c>
      <c r="V5" s="102">
        <f>V4+0.0252</f>
        <v>2.52E-2</v>
      </c>
      <c r="W5" s="102">
        <f>W4+0.0159</f>
        <v>1.5900000000000001E-2</v>
      </c>
      <c r="X5" s="102">
        <f>X4+0.01</f>
        <v>0.01</v>
      </c>
      <c r="Y5" s="119">
        <f>U5/X5</f>
        <v>4</v>
      </c>
      <c r="Z5" s="1">
        <f t="shared" si="1"/>
        <v>10160</v>
      </c>
      <c r="AA5" s="1">
        <f t="shared" si="1"/>
        <v>10100</v>
      </c>
    </row>
    <row r="6" spans="1:27" x14ac:dyDescent="0.2">
      <c r="A6" s="101">
        <v>5</v>
      </c>
      <c r="B6" s="101">
        <v>4</v>
      </c>
      <c r="C6" s="101">
        <f t="shared" si="0"/>
        <v>5</v>
      </c>
      <c r="D6" s="1">
        <v>3</v>
      </c>
      <c r="E6" s="1">
        <v>2</v>
      </c>
      <c r="I6" s="101"/>
      <c r="J6" s="101" t="s">
        <v>145</v>
      </c>
      <c r="K6" s="101"/>
      <c r="L6" s="101"/>
      <c r="M6" s="101"/>
      <c r="N6" s="101" t="s">
        <v>146</v>
      </c>
      <c r="T6" s="1">
        <v>3</v>
      </c>
      <c r="U6" s="102">
        <f t="shared" ref="U6:U46" si="2">U5+0.04</f>
        <v>0.08</v>
      </c>
      <c r="V6" s="102">
        <f t="shared" ref="V6:V46" si="3">V5+0.0252</f>
        <v>5.04E-2</v>
      </c>
      <c r="W6" s="102">
        <f t="shared" ref="W6:W46" si="4">W5+0.0159</f>
        <v>3.1800000000000002E-2</v>
      </c>
      <c r="X6" s="102">
        <f t="shared" ref="X6:X46" si="5">X5+0.01</f>
        <v>0.02</v>
      </c>
      <c r="Y6" s="119">
        <f t="shared" ref="Y6:Y42" si="6">U6/X6</f>
        <v>4</v>
      </c>
      <c r="Z6" s="1">
        <f t="shared" si="1"/>
        <v>10320</v>
      </c>
      <c r="AA6" s="1">
        <f t="shared" si="1"/>
        <v>10200</v>
      </c>
    </row>
    <row r="7" spans="1:27" x14ac:dyDescent="0.2">
      <c r="A7" s="101">
        <v>6</v>
      </c>
      <c r="B7" s="101"/>
      <c r="C7" s="101">
        <f t="shared" si="0"/>
        <v>6</v>
      </c>
      <c r="D7" s="1">
        <v>4</v>
      </c>
      <c r="E7" s="1">
        <v>2</v>
      </c>
      <c r="I7" s="101"/>
      <c r="J7" s="101" t="s">
        <v>147</v>
      </c>
      <c r="K7" s="101"/>
      <c r="L7" s="101"/>
      <c r="M7" s="101"/>
      <c r="N7" s="101" t="s">
        <v>148</v>
      </c>
      <c r="T7" s="1">
        <v>4</v>
      </c>
      <c r="U7" s="102">
        <f t="shared" si="2"/>
        <v>0.12</v>
      </c>
      <c r="V7" s="102">
        <f t="shared" si="3"/>
        <v>7.5600000000000001E-2</v>
      </c>
      <c r="W7" s="102">
        <f t="shared" si="4"/>
        <v>4.7700000000000006E-2</v>
      </c>
      <c r="X7" s="102">
        <f t="shared" si="5"/>
        <v>0.03</v>
      </c>
      <c r="Y7" s="119">
        <f t="shared" si="6"/>
        <v>4</v>
      </c>
      <c r="Z7" s="1">
        <f t="shared" si="1"/>
        <v>10480</v>
      </c>
      <c r="AA7" s="1">
        <f t="shared" si="1"/>
        <v>10300</v>
      </c>
    </row>
    <row r="8" spans="1:27" x14ac:dyDescent="0.2">
      <c r="A8" s="101">
        <v>7</v>
      </c>
      <c r="B8" s="101"/>
      <c r="C8" s="101">
        <f t="shared" si="0"/>
        <v>7</v>
      </c>
      <c r="D8" s="1">
        <v>5</v>
      </c>
      <c r="E8" s="1">
        <v>3</v>
      </c>
      <c r="I8" s="101"/>
      <c r="J8" s="101" t="s">
        <v>149</v>
      </c>
      <c r="K8" s="101"/>
      <c r="L8" s="101"/>
      <c r="M8" s="101"/>
      <c r="N8" s="101" t="s">
        <v>150</v>
      </c>
      <c r="T8" s="1">
        <v>5</v>
      </c>
      <c r="U8" s="102">
        <f t="shared" si="2"/>
        <v>0.16</v>
      </c>
      <c r="V8" s="102">
        <f t="shared" si="3"/>
        <v>0.1008</v>
      </c>
      <c r="W8" s="102">
        <f t="shared" si="4"/>
        <v>6.3600000000000004E-2</v>
      </c>
      <c r="X8" s="102">
        <f t="shared" si="5"/>
        <v>0.04</v>
      </c>
      <c r="Y8" s="119">
        <f t="shared" si="6"/>
        <v>4</v>
      </c>
      <c r="Z8" s="1">
        <f t="shared" si="1"/>
        <v>10640</v>
      </c>
      <c r="AA8" s="1">
        <f t="shared" si="1"/>
        <v>10400</v>
      </c>
    </row>
    <row r="9" spans="1:27" x14ac:dyDescent="0.2">
      <c r="A9" s="101">
        <v>8</v>
      </c>
      <c r="B9" s="101">
        <v>5</v>
      </c>
      <c r="C9" s="101">
        <f t="shared" si="0"/>
        <v>8</v>
      </c>
      <c r="D9" s="1">
        <v>5</v>
      </c>
      <c r="E9" s="1">
        <v>3</v>
      </c>
      <c r="I9" s="101"/>
      <c r="J9" s="101" t="s">
        <v>151</v>
      </c>
      <c r="K9" s="101"/>
      <c r="L9" s="101"/>
      <c r="M9" s="101"/>
      <c r="N9" s="101" t="s">
        <v>152</v>
      </c>
      <c r="T9" s="1">
        <v>6</v>
      </c>
      <c r="U9" s="102">
        <f t="shared" si="2"/>
        <v>0.2</v>
      </c>
      <c r="V9" s="102">
        <f t="shared" si="3"/>
        <v>0.126</v>
      </c>
      <c r="W9" s="102">
        <f t="shared" si="4"/>
        <v>7.9500000000000001E-2</v>
      </c>
      <c r="X9" s="102">
        <f t="shared" si="5"/>
        <v>0.05</v>
      </c>
      <c r="Y9" s="119">
        <f t="shared" si="6"/>
        <v>4</v>
      </c>
      <c r="Z9" s="1">
        <f t="shared" si="1"/>
        <v>10800</v>
      </c>
      <c r="AA9" s="1">
        <f t="shared" si="1"/>
        <v>10500</v>
      </c>
    </row>
    <row r="10" spans="1:27" x14ac:dyDescent="0.2">
      <c r="A10" s="101">
        <v>9</v>
      </c>
      <c r="B10" s="101"/>
      <c r="C10" s="101">
        <f t="shared" si="0"/>
        <v>9</v>
      </c>
      <c r="D10" s="1">
        <v>6</v>
      </c>
      <c r="E10" s="1">
        <v>4</v>
      </c>
      <c r="J10" s="1" t="s">
        <v>160</v>
      </c>
      <c r="T10" s="1">
        <v>7</v>
      </c>
      <c r="U10" s="102">
        <f t="shared" si="2"/>
        <v>0.24000000000000002</v>
      </c>
      <c r="V10" s="102">
        <f t="shared" si="3"/>
        <v>0.1512</v>
      </c>
      <c r="W10" s="102">
        <f t="shared" si="4"/>
        <v>9.5399999999999999E-2</v>
      </c>
      <c r="X10" s="102">
        <f t="shared" si="5"/>
        <v>6.0000000000000005E-2</v>
      </c>
      <c r="Y10" s="119">
        <f t="shared" si="6"/>
        <v>4</v>
      </c>
      <c r="Z10" s="1">
        <f t="shared" si="1"/>
        <v>10960</v>
      </c>
      <c r="AA10" s="1">
        <f t="shared" si="1"/>
        <v>10600</v>
      </c>
    </row>
    <row r="11" spans="1:27" x14ac:dyDescent="0.2">
      <c r="A11" s="101">
        <v>10</v>
      </c>
      <c r="B11" s="101"/>
      <c r="C11" s="101">
        <f t="shared" si="0"/>
        <v>10</v>
      </c>
      <c r="D11" s="1">
        <v>7</v>
      </c>
      <c r="E11" s="1">
        <v>4</v>
      </c>
      <c r="J11" s="1" t="s">
        <v>165</v>
      </c>
      <c r="T11" s="1">
        <v>8</v>
      </c>
      <c r="U11" s="102">
        <f t="shared" si="2"/>
        <v>0.28000000000000003</v>
      </c>
      <c r="V11" s="102">
        <f t="shared" si="3"/>
        <v>0.1764</v>
      </c>
      <c r="W11" s="102">
        <f t="shared" si="4"/>
        <v>0.1113</v>
      </c>
      <c r="X11" s="102">
        <f t="shared" si="5"/>
        <v>7.0000000000000007E-2</v>
      </c>
      <c r="Y11" s="119">
        <f t="shared" si="6"/>
        <v>4</v>
      </c>
      <c r="Z11" s="1">
        <f t="shared" si="1"/>
        <v>11120</v>
      </c>
      <c r="AA11" s="1">
        <f t="shared" si="1"/>
        <v>10700</v>
      </c>
    </row>
    <row r="12" spans="1:27" x14ac:dyDescent="0.2">
      <c r="A12" s="101">
        <v>11</v>
      </c>
      <c r="B12" s="101"/>
      <c r="C12" s="101">
        <f t="shared" si="0"/>
        <v>11</v>
      </c>
      <c r="D12" s="1">
        <v>7</v>
      </c>
      <c r="E12" s="1">
        <v>4</v>
      </c>
      <c r="J12" s="1" t="s">
        <v>166</v>
      </c>
      <c r="T12" s="1">
        <v>9</v>
      </c>
      <c r="U12" s="102">
        <f t="shared" si="2"/>
        <v>0.32</v>
      </c>
      <c r="V12" s="102">
        <f t="shared" si="3"/>
        <v>0.2016</v>
      </c>
      <c r="W12" s="102">
        <f t="shared" si="4"/>
        <v>0.12720000000000001</v>
      </c>
      <c r="X12" s="102">
        <f t="shared" si="5"/>
        <v>0.08</v>
      </c>
      <c r="Y12" s="119">
        <f t="shared" si="6"/>
        <v>4</v>
      </c>
      <c r="Z12" s="1">
        <f t="shared" si="1"/>
        <v>11280</v>
      </c>
      <c r="AA12" s="1">
        <f t="shared" si="1"/>
        <v>10800</v>
      </c>
    </row>
    <row r="13" spans="1:27" x14ac:dyDescent="0.2">
      <c r="A13" s="101">
        <v>12</v>
      </c>
      <c r="B13" s="101">
        <v>6</v>
      </c>
      <c r="C13" s="101">
        <f t="shared" si="0"/>
        <v>12</v>
      </c>
      <c r="D13" s="1">
        <v>8</v>
      </c>
      <c r="E13" s="1">
        <v>5</v>
      </c>
      <c r="K13" s="1" t="s">
        <v>173</v>
      </c>
      <c r="M13" s="1" t="s">
        <v>195</v>
      </c>
      <c r="P13" s="1" t="s">
        <v>196</v>
      </c>
      <c r="Q13" s="1">
        <v>100</v>
      </c>
      <c r="T13" s="1">
        <v>10</v>
      </c>
      <c r="U13" s="102">
        <f t="shared" si="2"/>
        <v>0.36</v>
      </c>
      <c r="V13" s="102">
        <f t="shared" si="3"/>
        <v>0.2268</v>
      </c>
      <c r="W13" s="102">
        <f t="shared" si="4"/>
        <v>0.1431</v>
      </c>
      <c r="X13" s="102">
        <f t="shared" si="5"/>
        <v>0.09</v>
      </c>
      <c r="Y13" s="119">
        <f t="shared" si="6"/>
        <v>4</v>
      </c>
      <c r="Z13" s="1">
        <f t="shared" si="1"/>
        <v>11440</v>
      </c>
      <c r="AA13" s="1">
        <f t="shared" si="1"/>
        <v>10900</v>
      </c>
    </row>
    <row r="14" spans="1:27" x14ac:dyDescent="0.2">
      <c r="A14" s="101">
        <v>13</v>
      </c>
      <c r="B14" s="101"/>
      <c r="C14" s="101">
        <f t="shared" si="0"/>
        <v>13</v>
      </c>
      <c r="D14" s="1">
        <v>9</v>
      </c>
      <c r="E14" s="1">
        <v>5</v>
      </c>
      <c r="J14" s="101" t="s">
        <v>169</v>
      </c>
      <c r="K14" s="1">
        <v>100</v>
      </c>
      <c r="L14" s="1" t="s">
        <v>186</v>
      </c>
      <c r="T14" s="1">
        <v>11</v>
      </c>
      <c r="U14" s="102">
        <f t="shared" si="2"/>
        <v>0.39999999999999997</v>
      </c>
      <c r="V14" s="102">
        <f t="shared" si="3"/>
        <v>0.252</v>
      </c>
      <c r="W14" s="102">
        <f t="shared" si="4"/>
        <v>0.159</v>
      </c>
      <c r="X14" s="102">
        <f t="shared" si="5"/>
        <v>9.9999999999999992E-2</v>
      </c>
      <c r="Y14" s="119">
        <f t="shared" si="6"/>
        <v>4</v>
      </c>
      <c r="Z14" s="1">
        <f t="shared" si="1"/>
        <v>11600</v>
      </c>
      <c r="AA14" s="1">
        <f t="shared" si="1"/>
        <v>11000</v>
      </c>
    </row>
    <row r="15" spans="1:27" x14ac:dyDescent="0.2">
      <c r="A15" s="101">
        <v>14</v>
      </c>
      <c r="B15" s="101"/>
      <c r="C15" s="101">
        <f t="shared" si="0"/>
        <v>14</v>
      </c>
      <c r="D15" s="1">
        <v>9</v>
      </c>
      <c r="E15" s="1">
        <v>5</v>
      </c>
      <c r="J15" s="1" t="s">
        <v>178</v>
      </c>
      <c r="K15" s="1">
        <v>1</v>
      </c>
      <c r="L15" s="101"/>
      <c r="M15" s="101"/>
      <c r="N15" s="101"/>
      <c r="T15" s="1">
        <v>12</v>
      </c>
      <c r="U15" s="102">
        <f t="shared" si="2"/>
        <v>0.43999999999999995</v>
      </c>
      <c r="V15" s="102">
        <f t="shared" si="3"/>
        <v>0.2772</v>
      </c>
      <c r="W15" s="102">
        <f t="shared" si="4"/>
        <v>0.1749</v>
      </c>
      <c r="X15" s="102">
        <f t="shared" si="5"/>
        <v>0.10999999999999999</v>
      </c>
      <c r="Y15" s="119">
        <f t="shared" si="6"/>
        <v>4</v>
      </c>
      <c r="Z15" s="1">
        <f t="shared" si="1"/>
        <v>11760</v>
      </c>
      <c r="AA15" s="1">
        <f t="shared" si="1"/>
        <v>11100</v>
      </c>
    </row>
    <row r="16" spans="1:27" x14ac:dyDescent="0.2">
      <c r="A16" s="101">
        <v>15</v>
      </c>
      <c r="B16" s="101">
        <v>7</v>
      </c>
      <c r="C16" s="101">
        <f t="shared" si="0"/>
        <v>15</v>
      </c>
      <c r="D16" s="1">
        <v>10</v>
      </c>
      <c r="E16" s="1">
        <v>6</v>
      </c>
      <c r="J16" s="1" t="s">
        <v>179</v>
      </c>
      <c r="K16" s="101">
        <v>1.2</v>
      </c>
      <c r="L16" s="101"/>
      <c r="M16" s="101"/>
      <c r="N16" s="101"/>
      <c r="T16" s="1">
        <v>13</v>
      </c>
      <c r="U16" s="102">
        <f t="shared" si="2"/>
        <v>0.47999999999999993</v>
      </c>
      <c r="V16" s="102">
        <f t="shared" si="3"/>
        <v>0.3024</v>
      </c>
      <c r="W16" s="102">
        <f t="shared" si="4"/>
        <v>0.1908</v>
      </c>
      <c r="X16" s="102">
        <f t="shared" si="5"/>
        <v>0.11999999999999998</v>
      </c>
      <c r="Y16" s="119">
        <f t="shared" si="6"/>
        <v>4</v>
      </c>
      <c r="Z16" s="1">
        <f t="shared" si="1"/>
        <v>11920</v>
      </c>
      <c r="AA16" s="1">
        <f t="shared" si="1"/>
        <v>11200</v>
      </c>
    </row>
    <row r="17" spans="1:27" x14ac:dyDescent="0.2">
      <c r="A17" s="101">
        <v>16</v>
      </c>
      <c r="B17" s="101"/>
      <c r="C17" s="101">
        <f t="shared" si="0"/>
        <v>16</v>
      </c>
      <c r="D17" s="1">
        <v>11</v>
      </c>
      <c r="E17" s="1">
        <v>6</v>
      </c>
      <c r="H17" s="101"/>
      <c r="J17" s="1" t="s">
        <v>180</v>
      </c>
      <c r="K17" s="101">
        <v>1.4</v>
      </c>
      <c r="T17" s="1">
        <v>14</v>
      </c>
      <c r="U17" s="102">
        <f t="shared" si="2"/>
        <v>0.51999999999999991</v>
      </c>
      <c r="V17" s="102">
        <f t="shared" si="3"/>
        <v>0.3276</v>
      </c>
      <c r="W17" s="102">
        <f t="shared" si="4"/>
        <v>0.20669999999999999</v>
      </c>
      <c r="X17" s="102">
        <f t="shared" si="5"/>
        <v>0.12999999999999998</v>
      </c>
      <c r="Y17" s="119">
        <f t="shared" si="6"/>
        <v>4</v>
      </c>
      <c r="Z17" s="1">
        <f t="shared" si="1"/>
        <v>12080</v>
      </c>
      <c r="AA17" s="1">
        <f t="shared" si="1"/>
        <v>11300</v>
      </c>
    </row>
    <row r="18" spans="1:27" x14ac:dyDescent="0.2">
      <c r="A18" s="101">
        <v>17</v>
      </c>
      <c r="B18" s="101"/>
      <c r="C18" s="101">
        <f t="shared" si="0"/>
        <v>17</v>
      </c>
      <c r="D18" s="1">
        <v>11</v>
      </c>
      <c r="E18" s="1">
        <v>6</v>
      </c>
      <c r="H18" s="101"/>
      <c r="J18" s="1" t="s">
        <v>181</v>
      </c>
      <c r="K18" s="1">
        <v>1.6</v>
      </c>
      <c r="T18" s="1">
        <v>15</v>
      </c>
      <c r="U18" s="102">
        <f t="shared" si="2"/>
        <v>0.55999999999999994</v>
      </c>
      <c r="V18" s="102">
        <f t="shared" si="3"/>
        <v>0.3528</v>
      </c>
      <c r="W18" s="102">
        <f t="shared" si="4"/>
        <v>0.22259999999999999</v>
      </c>
      <c r="X18" s="102">
        <f t="shared" si="5"/>
        <v>0.13999999999999999</v>
      </c>
      <c r="Y18" s="119">
        <f t="shared" si="6"/>
        <v>4</v>
      </c>
      <c r="Z18" s="1">
        <f t="shared" si="1"/>
        <v>12240</v>
      </c>
      <c r="AA18" s="1">
        <f t="shared" si="1"/>
        <v>11400</v>
      </c>
    </row>
    <row r="19" spans="1:27" x14ac:dyDescent="0.2">
      <c r="A19" s="101">
        <v>18</v>
      </c>
      <c r="B19" s="101"/>
      <c r="C19" s="101">
        <f t="shared" si="0"/>
        <v>18</v>
      </c>
      <c r="D19" s="1">
        <v>12</v>
      </c>
      <c r="E19" s="1">
        <v>7</v>
      </c>
      <c r="H19" s="101"/>
      <c r="J19" s="1" t="s">
        <v>167</v>
      </c>
      <c r="K19" s="1">
        <f>100 * 20</f>
        <v>2000</v>
      </c>
      <c r="L19" s="1" t="s">
        <v>201</v>
      </c>
      <c r="T19" s="1">
        <v>16</v>
      </c>
      <c r="U19" s="102">
        <f t="shared" si="2"/>
        <v>0.6</v>
      </c>
      <c r="V19" s="102">
        <f t="shared" si="3"/>
        <v>0.378</v>
      </c>
      <c r="W19" s="102">
        <f t="shared" si="4"/>
        <v>0.23849999999999999</v>
      </c>
      <c r="X19" s="102">
        <f t="shared" si="5"/>
        <v>0.15</v>
      </c>
      <c r="Y19" s="119">
        <f t="shared" si="6"/>
        <v>4</v>
      </c>
      <c r="Z19" s="1">
        <f t="shared" si="1"/>
        <v>12400</v>
      </c>
      <c r="AA19" s="1">
        <f t="shared" si="1"/>
        <v>11500</v>
      </c>
    </row>
    <row r="20" spans="1:27" x14ac:dyDescent="0.2">
      <c r="A20" s="101">
        <v>19</v>
      </c>
      <c r="B20" s="101"/>
      <c r="C20" s="101">
        <f t="shared" si="0"/>
        <v>19</v>
      </c>
      <c r="D20" s="1">
        <v>13</v>
      </c>
      <c r="E20" s="1">
        <v>7</v>
      </c>
      <c r="H20" s="101"/>
      <c r="J20" s="1" t="s">
        <v>168</v>
      </c>
      <c r="P20" s="1">
        <f>6/5</f>
        <v>1.2</v>
      </c>
      <c r="Q20" s="1" t="s">
        <v>187</v>
      </c>
      <c r="T20" s="1">
        <v>17</v>
      </c>
      <c r="U20" s="102">
        <f t="shared" si="2"/>
        <v>0.64</v>
      </c>
      <c r="V20" s="102">
        <f t="shared" si="3"/>
        <v>0.4032</v>
      </c>
      <c r="W20" s="102">
        <f t="shared" si="4"/>
        <v>0.25440000000000002</v>
      </c>
      <c r="X20" s="102">
        <f t="shared" si="5"/>
        <v>0.16</v>
      </c>
      <c r="Y20" s="119">
        <f t="shared" si="6"/>
        <v>4</v>
      </c>
      <c r="Z20" s="1">
        <f t="shared" si="1"/>
        <v>12560</v>
      </c>
      <c r="AA20" s="1">
        <f t="shared" si="1"/>
        <v>11600</v>
      </c>
    </row>
    <row r="21" spans="1:27" x14ac:dyDescent="0.2">
      <c r="A21" s="101">
        <v>20</v>
      </c>
      <c r="B21" s="101">
        <v>8</v>
      </c>
      <c r="C21" s="101">
        <f t="shared" si="0"/>
        <v>20</v>
      </c>
      <c r="D21" s="1">
        <v>13</v>
      </c>
      <c r="E21" s="1">
        <v>7</v>
      </c>
      <c r="H21" s="101"/>
      <c r="J21" s="101" t="s">
        <v>170</v>
      </c>
      <c r="T21" s="1">
        <v>18</v>
      </c>
      <c r="U21" s="102">
        <f t="shared" si="2"/>
        <v>0.68</v>
      </c>
      <c r="V21" s="102">
        <f t="shared" si="3"/>
        <v>0.4284</v>
      </c>
      <c r="W21" s="102">
        <f t="shared" si="4"/>
        <v>0.27030000000000004</v>
      </c>
      <c r="X21" s="102">
        <f t="shared" si="5"/>
        <v>0.17</v>
      </c>
      <c r="Y21" s="119">
        <f t="shared" si="6"/>
        <v>4</v>
      </c>
      <c r="Z21" s="1">
        <f t="shared" si="1"/>
        <v>12720</v>
      </c>
      <c r="AA21" s="1">
        <f t="shared" si="1"/>
        <v>11700</v>
      </c>
    </row>
    <row r="22" spans="1:27" x14ac:dyDescent="0.2">
      <c r="A22" s="101">
        <v>21</v>
      </c>
      <c r="B22" s="101"/>
      <c r="C22" s="101">
        <f t="shared" si="0"/>
        <v>21</v>
      </c>
      <c r="D22" s="1">
        <v>14</v>
      </c>
      <c r="E22" s="1">
        <v>8</v>
      </c>
      <c r="H22" s="101"/>
      <c r="J22" s="1" t="s">
        <v>171</v>
      </c>
      <c r="T22" s="1">
        <v>19</v>
      </c>
      <c r="U22" s="102">
        <f t="shared" si="2"/>
        <v>0.72000000000000008</v>
      </c>
      <c r="V22" s="102">
        <f t="shared" si="3"/>
        <v>0.4536</v>
      </c>
      <c r="W22" s="102">
        <f t="shared" si="4"/>
        <v>0.28620000000000007</v>
      </c>
      <c r="X22" s="102">
        <f t="shared" si="5"/>
        <v>0.18000000000000002</v>
      </c>
      <c r="Y22" s="119">
        <f t="shared" si="6"/>
        <v>4</v>
      </c>
      <c r="Z22" s="1">
        <f t="shared" si="1"/>
        <v>12880</v>
      </c>
      <c r="AA22" s="1">
        <f t="shared" si="1"/>
        <v>11800</v>
      </c>
    </row>
    <row r="23" spans="1:27" x14ac:dyDescent="0.2">
      <c r="A23" s="101">
        <v>22</v>
      </c>
      <c r="B23" s="101"/>
      <c r="C23" s="101">
        <f t="shared" si="0"/>
        <v>22</v>
      </c>
      <c r="D23" s="1">
        <v>15</v>
      </c>
      <c r="E23" s="1">
        <v>8</v>
      </c>
      <c r="H23" s="101"/>
      <c r="J23" s="1" t="s">
        <v>172</v>
      </c>
      <c r="T23" s="1">
        <v>20</v>
      </c>
      <c r="U23" s="102">
        <f t="shared" si="2"/>
        <v>0.76000000000000012</v>
      </c>
      <c r="V23" s="102">
        <f t="shared" si="3"/>
        <v>0.4788</v>
      </c>
      <c r="W23" s="102">
        <f t="shared" si="4"/>
        <v>0.30210000000000009</v>
      </c>
      <c r="X23" s="102">
        <f t="shared" si="5"/>
        <v>0.19000000000000003</v>
      </c>
      <c r="Y23" s="119">
        <f t="shared" si="6"/>
        <v>4</v>
      </c>
      <c r="Z23" s="1">
        <f t="shared" si="1"/>
        <v>13040</v>
      </c>
      <c r="AA23" s="1">
        <f t="shared" si="1"/>
        <v>11900</v>
      </c>
    </row>
    <row r="24" spans="1:27" x14ac:dyDescent="0.2">
      <c r="A24" s="101">
        <v>23</v>
      </c>
      <c r="B24" s="101"/>
      <c r="C24" s="101">
        <f t="shared" si="0"/>
        <v>23</v>
      </c>
      <c r="D24" s="1">
        <v>15</v>
      </c>
      <c r="E24" s="1">
        <v>8</v>
      </c>
      <c r="H24" s="101"/>
      <c r="M24" s="1" t="s">
        <v>198</v>
      </c>
      <c r="R24" s="1" t="s">
        <v>200</v>
      </c>
      <c r="T24" s="1">
        <v>21</v>
      </c>
      <c r="U24" s="102">
        <f t="shared" si="2"/>
        <v>0.80000000000000016</v>
      </c>
      <c r="V24" s="102">
        <f t="shared" si="3"/>
        <v>0.504</v>
      </c>
      <c r="W24" s="102">
        <f t="shared" si="4"/>
        <v>0.31800000000000012</v>
      </c>
      <c r="X24" s="102">
        <f t="shared" si="5"/>
        <v>0.20000000000000004</v>
      </c>
      <c r="Y24" s="119">
        <f t="shared" si="6"/>
        <v>4</v>
      </c>
      <c r="Z24" s="1">
        <f t="shared" ref="Z24:AA43" si="7">10000+(($T24-1)*point_per_hlevel)*Z$3</f>
        <v>13200</v>
      </c>
      <c r="AA24" s="1">
        <f t="shared" si="7"/>
        <v>12000</v>
      </c>
    </row>
    <row r="25" spans="1:27" x14ac:dyDescent="0.2">
      <c r="A25" s="101">
        <v>24</v>
      </c>
      <c r="B25" s="101"/>
      <c r="C25" s="101">
        <f t="shared" si="0"/>
        <v>24</v>
      </c>
      <c r="D25" s="1">
        <v>16</v>
      </c>
      <c r="E25" s="1">
        <v>8</v>
      </c>
      <c r="H25" s="101"/>
      <c r="M25" s="1" t="s">
        <v>197</v>
      </c>
      <c r="R25" s="1" t="s">
        <v>199</v>
      </c>
      <c r="T25" s="1">
        <v>22</v>
      </c>
      <c r="U25" s="102">
        <f t="shared" si="2"/>
        <v>0.84000000000000019</v>
      </c>
      <c r="V25" s="102">
        <f t="shared" si="3"/>
        <v>0.5292</v>
      </c>
      <c r="W25" s="102">
        <f t="shared" si="4"/>
        <v>0.33390000000000014</v>
      </c>
      <c r="X25" s="102">
        <f t="shared" si="5"/>
        <v>0.21000000000000005</v>
      </c>
      <c r="Y25" s="119">
        <f t="shared" si="6"/>
        <v>4</v>
      </c>
      <c r="Z25" s="1">
        <f t="shared" si="7"/>
        <v>13360</v>
      </c>
      <c r="AA25" s="1">
        <f t="shared" si="7"/>
        <v>12100</v>
      </c>
    </row>
    <row r="26" spans="1:27" x14ac:dyDescent="0.2">
      <c r="A26" s="101">
        <v>25</v>
      </c>
      <c r="B26" s="101">
        <v>9</v>
      </c>
      <c r="C26" s="101">
        <f t="shared" si="0"/>
        <v>25</v>
      </c>
      <c r="D26" s="1">
        <v>16</v>
      </c>
      <c r="E26" s="1">
        <v>9</v>
      </c>
      <c r="H26" s="101"/>
      <c r="M26" s="1" t="s">
        <v>202</v>
      </c>
      <c r="O26" s="1" t="s">
        <v>204</v>
      </c>
      <c r="T26" s="1">
        <v>23</v>
      </c>
      <c r="U26" s="102">
        <f t="shared" si="2"/>
        <v>0.88000000000000023</v>
      </c>
      <c r="V26" s="102">
        <f t="shared" si="3"/>
        <v>0.5544</v>
      </c>
      <c r="W26" s="102">
        <f t="shared" si="4"/>
        <v>0.34980000000000017</v>
      </c>
      <c r="X26" s="102">
        <f t="shared" si="5"/>
        <v>0.22000000000000006</v>
      </c>
      <c r="Y26" s="119">
        <f t="shared" si="6"/>
        <v>4</v>
      </c>
      <c r="Z26" s="1">
        <f t="shared" si="7"/>
        <v>13520</v>
      </c>
      <c r="AA26" s="1">
        <f t="shared" si="7"/>
        <v>12200</v>
      </c>
    </row>
    <row r="27" spans="1:27" x14ac:dyDescent="0.2">
      <c r="A27" s="101">
        <v>26</v>
      </c>
      <c r="B27" s="101"/>
      <c r="C27" s="101">
        <f t="shared" si="0"/>
        <v>26</v>
      </c>
      <c r="D27" s="1">
        <v>16</v>
      </c>
      <c r="E27" s="1">
        <v>9</v>
      </c>
      <c r="H27" s="101"/>
      <c r="M27" s="1" t="s">
        <v>203</v>
      </c>
      <c r="T27" s="1">
        <v>24</v>
      </c>
      <c r="U27" s="102">
        <f t="shared" si="2"/>
        <v>0.92000000000000026</v>
      </c>
      <c r="V27" s="102">
        <f t="shared" si="3"/>
        <v>0.5796</v>
      </c>
      <c r="W27" s="102">
        <f t="shared" si="4"/>
        <v>0.36570000000000019</v>
      </c>
      <c r="X27" s="102">
        <f t="shared" si="5"/>
        <v>0.23000000000000007</v>
      </c>
      <c r="Y27" s="119">
        <f t="shared" si="6"/>
        <v>4</v>
      </c>
      <c r="Z27" s="1">
        <f t="shared" si="7"/>
        <v>13680</v>
      </c>
      <c r="AA27" s="1">
        <f t="shared" si="7"/>
        <v>12300</v>
      </c>
    </row>
    <row r="28" spans="1:27" x14ac:dyDescent="0.2">
      <c r="A28" s="101">
        <v>27</v>
      </c>
      <c r="B28" s="101"/>
      <c r="C28" s="101">
        <f t="shared" si="0"/>
        <v>27</v>
      </c>
      <c r="D28" s="1">
        <v>16</v>
      </c>
      <c r="E28" s="1">
        <v>9</v>
      </c>
      <c r="T28" s="1">
        <v>25</v>
      </c>
      <c r="U28" s="102">
        <f t="shared" si="2"/>
        <v>0.9600000000000003</v>
      </c>
      <c r="V28" s="102">
        <f t="shared" si="3"/>
        <v>0.6048</v>
      </c>
      <c r="W28" s="102">
        <f t="shared" si="4"/>
        <v>0.38160000000000022</v>
      </c>
      <c r="X28" s="102">
        <f t="shared" si="5"/>
        <v>0.24000000000000007</v>
      </c>
      <c r="Y28" s="119">
        <f t="shared" si="6"/>
        <v>4</v>
      </c>
      <c r="Z28" s="1">
        <f t="shared" si="7"/>
        <v>13840</v>
      </c>
      <c r="AA28" s="1">
        <f t="shared" si="7"/>
        <v>12400</v>
      </c>
    </row>
    <row r="29" spans="1:27" x14ac:dyDescent="0.2">
      <c r="A29" s="101">
        <v>28</v>
      </c>
      <c r="B29" s="101"/>
      <c r="C29" s="101">
        <f t="shared" si="0"/>
        <v>28</v>
      </c>
      <c r="D29" s="1">
        <v>16</v>
      </c>
      <c r="E29" s="1">
        <v>9</v>
      </c>
      <c r="T29" s="1">
        <v>26</v>
      </c>
      <c r="U29" s="102">
        <f t="shared" si="2"/>
        <v>1.0000000000000002</v>
      </c>
      <c r="V29" s="102">
        <f t="shared" si="3"/>
        <v>0.63</v>
      </c>
      <c r="W29" s="102">
        <f t="shared" si="4"/>
        <v>0.39750000000000024</v>
      </c>
      <c r="X29" s="102">
        <f t="shared" si="5"/>
        <v>0.25000000000000006</v>
      </c>
      <c r="Y29" s="119">
        <f t="shared" si="6"/>
        <v>4</v>
      </c>
      <c r="Z29" s="1">
        <f t="shared" si="7"/>
        <v>14000</v>
      </c>
      <c r="AA29" s="1">
        <f t="shared" si="7"/>
        <v>12500</v>
      </c>
    </row>
    <row r="30" spans="1:27" x14ac:dyDescent="0.2">
      <c r="A30" s="101">
        <v>29</v>
      </c>
      <c r="B30" s="101"/>
      <c r="C30" s="101">
        <f t="shared" si="0"/>
        <v>29</v>
      </c>
      <c r="D30" s="1">
        <v>16</v>
      </c>
      <c r="E30" s="1">
        <v>9</v>
      </c>
      <c r="T30" s="1">
        <v>27</v>
      </c>
      <c r="U30" s="102">
        <f t="shared" si="2"/>
        <v>1.0400000000000003</v>
      </c>
      <c r="V30" s="102">
        <f t="shared" si="3"/>
        <v>0.6552</v>
      </c>
      <c r="W30" s="102">
        <f t="shared" si="4"/>
        <v>0.41340000000000027</v>
      </c>
      <c r="X30" s="102">
        <f t="shared" si="5"/>
        <v>0.26000000000000006</v>
      </c>
      <c r="Y30" s="119">
        <f t="shared" si="6"/>
        <v>4</v>
      </c>
      <c r="Z30" s="1">
        <f t="shared" si="7"/>
        <v>14160</v>
      </c>
      <c r="AA30" s="1">
        <f t="shared" si="7"/>
        <v>12600</v>
      </c>
    </row>
    <row r="31" spans="1:27" x14ac:dyDescent="0.2">
      <c r="A31" s="101">
        <v>30</v>
      </c>
      <c r="B31" s="101">
        <v>10</v>
      </c>
      <c r="C31" s="101">
        <f t="shared" si="0"/>
        <v>30</v>
      </c>
      <c r="D31" s="1">
        <v>16</v>
      </c>
      <c r="E31" s="1">
        <v>10</v>
      </c>
      <c r="T31" s="1">
        <v>28</v>
      </c>
      <c r="U31" s="102">
        <f t="shared" si="2"/>
        <v>1.0800000000000003</v>
      </c>
      <c r="V31" s="102">
        <f t="shared" si="3"/>
        <v>0.6804</v>
      </c>
      <c r="W31" s="102">
        <f t="shared" si="4"/>
        <v>0.42930000000000029</v>
      </c>
      <c r="X31" s="102">
        <f t="shared" si="5"/>
        <v>0.27000000000000007</v>
      </c>
      <c r="Y31" s="119">
        <f t="shared" si="6"/>
        <v>4</v>
      </c>
      <c r="Z31" s="1">
        <f t="shared" si="7"/>
        <v>14320</v>
      </c>
      <c r="AA31" s="1">
        <f t="shared" si="7"/>
        <v>12700</v>
      </c>
    </row>
    <row r="32" spans="1:27" x14ac:dyDescent="0.2">
      <c r="A32" s="101">
        <v>31</v>
      </c>
      <c r="B32" s="101"/>
      <c r="C32" s="101">
        <f t="shared" si="0"/>
        <v>31</v>
      </c>
      <c r="D32" s="1">
        <v>16</v>
      </c>
      <c r="E32" s="1">
        <v>10</v>
      </c>
      <c r="T32" s="1">
        <v>29</v>
      </c>
      <c r="U32" s="102">
        <f t="shared" si="2"/>
        <v>1.1200000000000003</v>
      </c>
      <c r="V32" s="102">
        <f t="shared" si="3"/>
        <v>0.7056</v>
      </c>
      <c r="W32" s="102">
        <f t="shared" si="4"/>
        <v>0.44520000000000032</v>
      </c>
      <c r="X32" s="102">
        <f t="shared" si="5"/>
        <v>0.28000000000000008</v>
      </c>
      <c r="Y32" s="119">
        <f t="shared" si="6"/>
        <v>4</v>
      </c>
      <c r="Z32" s="1">
        <f t="shared" si="7"/>
        <v>14480</v>
      </c>
      <c r="AA32" s="1">
        <f t="shared" si="7"/>
        <v>12800</v>
      </c>
    </row>
    <row r="33" spans="1:27" x14ac:dyDescent="0.2">
      <c r="A33" s="101">
        <v>32</v>
      </c>
      <c r="B33" s="101"/>
      <c r="C33" s="101">
        <f t="shared" si="0"/>
        <v>32</v>
      </c>
      <c r="D33" s="1">
        <v>16</v>
      </c>
      <c r="E33" s="1">
        <v>10</v>
      </c>
      <c r="J33" s="1" t="s">
        <v>189</v>
      </c>
      <c r="K33" s="1" t="s">
        <v>190</v>
      </c>
      <c r="M33" s="1" t="s">
        <v>189</v>
      </c>
      <c r="N33" s="1" t="s">
        <v>190</v>
      </c>
      <c r="T33" s="1">
        <v>30</v>
      </c>
      <c r="U33" s="102">
        <f t="shared" si="2"/>
        <v>1.1600000000000004</v>
      </c>
      <c r="V33" s="102">
        <f t="shared" si="3"/>
        <v>0.73080000000000001</v>
      </c>
      <c r="W33" s="102">
        <f t="shared" si="4"/>
        <v>0.46110000000000034</v>
      </c>
      <c r="X33" s="102">
        <f t="shared" si="5"/>
        <v>0.29000000000000009</v>
      </c>
      <c r="Y33" s="119">
        <f t="shared" si="6"/>
        <v>4</v>
      </c>
      <c r="Z33" s="1">
        <f t="shared" si="7"/>
        <v>14640</v>
      </c>
      <c r="AA33" s="1">
        <f t="shared" si="7"/>
        <v>12900</v>
      </c>
    </row>
    <row r="34" spans="1:27" x14ac:dyDescent="0.2">
      <c r="A34" s="101">
        <v>33</v>
      </c>
      <c r="B34" s="101"/>
      <c r="C34" s="101">
        <f t="shared" si="0"/>
        <v>33</v>
      </c>
      <c r="D34" s="1">
        <v>16</v>
      </c>
      <c r="E34" s="1">
        <v>10</v>
      </c>
      <c r="F34" s="1" t="s">
        <v>192</v>
      </c>
      <c r="G34" s="1" t="s">
        <v>191</v>
      </c>
      <c r="H34" s="1" t="s">
        <v>188</v>
      </c>
      <c r="I34" s="1" t="s">
        <v>205</v>
      </c>
      <c r="J34" s="1" t="s">
        <v>194</v>
      </c>
      <c r="K34" s="1" t="s">
        <v>194</v>
      </c>
      <c r="L34" s="1" t="s">
        <v>193</v>
      </c>
      <c r="M34" s="1" t="s">
        <v>177</v>
      </c>
      <c r="O34" s="1">
        <v>0.01</v>
      </c>
      <c r="P34" s="1">
        <v>0.02</v>
      </c>
      <c r="Q34" s="1">
        <v>0.03</v>
      </c>
      <c r="R34" s="1">
        <v>0.04</v>
      </c>
      <c r="S34" s="1">
        <v>0.05</v>
      </c>
      <c r="T34" s="1">
        <v>31</v>
      </c>
      <c r="U34" s="102">
        <f t="shared" si="2"/>
        <v>1.2000000000000004</v>
      </c>
      <c r="V34" s="102">
        <f t="shared" si="3"/>
        <v>0.75600000000000001</v>
      </c>
      <c r="W34" s="102">
        <f t="shared" si="4"/>
        <v>0.47700000000000037</v>
      </c>
      <c r="X34" s="102">
        <f t="shared" si="5"/>
        <v>0.3000000000000001</v>
      </c>
      <c r="Y34" s="119">
        <f t="shared" si="6"/>
        <v>4</v>
      </c>
      <c r="Z34" s="1">
        <f t="shared" si="7"/>
        <v>14800</v>
      </c>
      <c r="AA34" s="1">
        <f t="shared" si="7"/>
        <v>13000</v>
      </c>
    </row>
    <row r="35" spans="1:27" x14ac:dyDescent="0.2">
      <c r="A35" s="101">
        <v>34</v>
      </c>
      <c r="B35" s="101">
        <v>11</v>
      </c>
      <c r="C35" s="101">
        <f t="shared" si="0"/>
        <v>34</v>
      </c>
      <c r="D35" s="1">
        <v>16</v>
      </c>
      <c r="E35" s="1">
        <v>10</v>
      </c>
      <c r="F35" s="1">
        <v>1</v>
      </c>
      <c r="G35" s="1">
        <v>5</v>
      </c>
      <c r="H35" s="104">
        <f t="shared" ref="H35:H50" si="8">G35/$G$35</f>
        <v>1</v>
      </c>
      <c r="I35" s="1">
        <v>100</v>
      </c>
      <c r="J35" s="27">
        <f t="shared" ref="J35:J50" si="9">($I35*$AA$3)*$G35</f>
        <v>500</v>
      </c>
      <c r="K35" s="27">
        <f t="shared" ref="K35:K50" si="10">($I35*$Z$3)*$G35</f>
        <v>800</v>
      </c>
      <c r="L35" s="1">
        <f>K35/J35</f>
        <v>1.6</v>
      </c>
      <c r="M35" s="1">
        <f>(10000+(($F35-1)*2000))*$AA$3</f>
        <v>10000</v>
      </c>
      <c r="N35" s="1">
        <f t="shared" ref="N35:N50" si="11">(10000+(($F35-1)*2000))*$Z$3</f>
        <v>16000</v>
      </c>
      <c r="O35" s="106">
        <f>$M35*(1+O34)</f>
        <v>10100</v>
      </c>
      <c r="P35" s="106">
        <f t="shared" ref="P35:S35" si="12">$M35*(1+P34)</f>
        <v>10200</v>
      </c>
      <c r="Q35" s="106">
        <f t="shared" si="12"/>
        <v>10300</v>
      </c>
      <c r="R35" s="106">
        <f t="shared" si="12"/>
        <v>10400</v>
      </c>
      <c r="S35" s="106">
        <f t="shared" si="12"/>
        <v>10500</v>
      </c>
      <c r="T35" s="1">
        <v>32</v>
      </c>
      <c r="U35" s="102">
        <f t="shared" si="2"/>
        <v>1.2400000000000004</v>
      </c>
      <c r="V35" s="102">
        <f t="shared" si="3"/>
        <v>0.78120000000000001</v>
      </c>
      <c r="W35" s="102">
        <f t="shared" si="4"/>
        <v>0.49290000000000039</v>
      </c>
      <c r="X35" s="102">
        <f t="shared" si="5"/>
        <v>0.31000000000000011</v>
      </c>
      <c r="Y35" s="119">
        <f t="shared" si="6"/>
        <v>4</v>
      </c>
      <c r="Z35" s="1">
        <f t="shared" si="7"/>
        <v>14960</v>
      </c>
      <c r="AA35" s="1">
        <f t="shared" si="7"/>
        <v>13100</v>
      </c>
    </row>
    <row r="36" spans="1:27" x14ac:dyDescent="0.2">
      <c r="A36" s="101">
        <v>35</v>
      </c>
      <c r="B36" s="101"/>
      <c r="C36" s="101">
        <f t="shared" si="0"/>
        <v>35</v>
      </c>
      <c r="D36" s="1">
        <v>16</v>
      </c>
      <c r="E36" s="1">
        <v>10</v>
      </c>
      <c r="F36" s="1">
        <v>2</v>
      </c>
      <c r="G36" s="1">
        <v>6</v>
      </c>
      <c r="H36" s="104">
        <f t="shared" si="8"/>
        <v>1.2</v>
      </c>
      <c r="I36" s="1">
        <v>100</v>
      </c>
      <c r="J36" s="1">
        <f t="shared" si="9"/>
        <v>600</v>
      </c>
      <c r="K36" s="27">
        <f t="shared" si="10"/>
        <v>960</v>
      </c>
      <c r="L36" s="1">
        <f t="shared" ref="L36:L50" si="13">K36/J36</f>
        <v>1.6</v>
      </c>
      <c r="M36" s="1">
        <f t="shared" ref="M36:M50" si="14">(10000+((F36-1)*2000))*$AA$3</f>
        <v>12000</v>
      </c>
      <c r="N36" s="1">
        <f t="shared" si="11"/>
        <v>19200</v>
      </c>
      <c r="O36" s="106"/>
      <c r="P36" s="106"/>
      <c r="T36" s="1">
        <v>33</v>
      </c>
      <c r="U36" s="102">
        <f t="shared" si="2"/>
        <v>1.2800000000000005</v>
      </c>
      <c r="V36" s="102">
        <f t="shared" si="3"/>
        <v>0.80640000000000001</v>
      </c>
      <c r="W36" s="102">
        <f t="shared" si="4"/>
        <v>0.50880000000000036</v>
      </c>
      <c r="X36" s="102">
        <f t="shared" si="5"/>
        <v>0.32000000000000012</v>
      </c>
      <c r="Y36" s="119">
        <f t="shared" si="6"/>
        <v>4</v>
      </c>
      <c r="Z36" s="1">
        <f t="shared" si="7"/>
        <v>15120</v>
      </c>
      <c r="AA36" s="1">
        <f t="shared" si="7"/>
        <v>13200</v>
      </c>
    </row>
    <row r="37" spans="1:27" x14ac:dyDescent="0.2">
      <c r="A37" s="101">
        <v>36</v>
      </c>
      <c r="B37" s="101"/>
      <c r="C37" s="101">
        <f t="shared" si="0"/>
        <v>36</v>
      </c>
      <c r="D37" s="1">
        <v>16</v>
      </c>
      <c r="E37" s="1">
        <v>10</v>
      </c>
      <c r="F37" s="1">
        <v>3</v>
      </c>
      <c r="G37" s="1">
        <v>7</v>
      </c>
      <c r="H37" s="104">
        <f t="shared" si="8"/>
        <v>1.4</v>
      </c>
      <c r="I37" s="1">
        <v>100</v>
      </c>
      <c r="J37" s="1">
        <f t="shared" si="9"/>
        <v>700</v>
      </c>
      <c r="K37" s="1">
        <f t="shared" si="10"/>
        <v>1120</v>
      </c>
      <c r="L37" s="1">
        <f t="shared" si="13"/>
        <v>1.6</v>
      </c>
      <c r="M37" s="1">
        <f t="shared" si="14"/>
        <v>14000</v>
      </c>
      <c r="N37" s="1">
        <f t="shared" si="11"/>
        <v>22400</v>
      </c>
      <c r="O37" s="106"/>
      <c r="P37" s="106"/>
      <c r="T37" s="1">
        <v>34</v>
      </c>
      <c r="U37" s="102">
        <f t="shared" si="2"/>
        <v>1.3200000000000005</v>
      </c>
      <c r="V37" s="102">
        <f t="shared" si="3"/>
        <v>0.83160000000000001</v>
      </c>
      <c r="W37" s="102">
        <f t="shared" si="4"/>
        <v>0.52470000000000039</v>
      </c>
      <c r="X37" s="102">
        <f t="shared" si="5"/>
        <v>0.33000000000000013</v>
      </c>
      <c r="Y37" s="119">
        <f t="shared" si="6"/>
        <v>4</v>
      </c>
      <c r="Z37" s="1">
        <f t="shared" si="7"/>
        <v>15280</v>
      </c>
      <c r="AA37" s="1">
        <f t="shared" si="7"/>
        <v>13300</v>
      </c>
    </row>
    <row r="38" spans="1:27" x14ac:dyDescent="0.2">
      <c r="A38" s="101">
        <v>37</v>
      </c>
      <c r="B38" s="101"/>
      <c r="C38" s="101">
        <f t="shared" si="0"/>
        <v>37</v>
      </c>
      <c r="D38" s="1">
        <v>16</v>
      </c>
      <c r="E38" s="1">
        <v>10</v>
      </c>
      <c r="F38" s="1">
        <v>4</v>
      </c>
      <c r="G38" s="1">
        <v>8</v>
      </c>
      <c r="H38" s="104">
        <f t="shared" si="8"/>
        <v>1.6</v>
      </c>
      <c r="I38" s="1">
        <v>100</v>
      </c>
      <c r="J38" s="1">
        <f t="shared" si="9"/>
        <v>800</v>
      </c>
      <c r="K38" s="1">
        <f t="shared" si="10"/>
        <v>1280</v>
      </c>
      <c r="L38" s="1">
        <f t="shared" si="13"/>
        <v>1.6</v>
      </c>
      <c r="M38" s="1">
        <f t="shared" si="14"/>
        <v>16000</v>
      </c>
      <c r="N38" s="1">
        <f t="shared" si="11"/>
        <v>25600</v>
      </c>
      <c r="O38" s="106"/>
      <c r="P38" s="106"/>
      <c r="T38" s="1">
        <v>35</v>
      </c>
      <c r="U38" s="102">
        <f t="shared" si="2"/>
        <v>1.3600000000000005</v>
      </c>
      <c r="V38" s="102">
        <f t="shared" si="3"/>
        <v>0.85680000000000001</v>
      </c>
      <c r="W38" s="102">
        <f t="shared" si="4"/>
        <v>0.54060000000000041</v>
      </c>
      <c r="X38" s="102">
        <f t="shared" si="5"/>
        <v>0.34000000000000014</v>
      </c>
      <c r="Y38" s="119">
        <f t="shared" si="6"/>
        <v>4</v>
      </c>
      <c r="Z38" s="1">
        <f t="shared" si="7"/>
        <v>15440</v>
      </c>
      <c r="AA38" s="1">
        <f t="shared" si="7"/>
        <v>13400</v>
      </c>
    </row>
    <row r="39" spans="1:27" x14ac:dyDescent="0.2">
      <c r="A39" s="101">
        <v>38</v>
      </c>
      <c r="B39" s="101">
        <v>12</v>
      </c>
      <c r="C39" s="101">
        <f t="shared" si="0"/>
        <v>38</v>
      </c>
      <c r="D39" s="1">
        <v>16</v>
      </c>
      <c r="E39" s="1">
        <v>10</v>
      </c>
      <c r="F39" s="1">
        <v>5</v>
      </c>
      <c r="G39" s="1">
        <v>9</v>
      </c>
      <c r="H39" s="104">
        <f t="shared" si="8"/>
        <v>1.8</v>
      </c>
      <c r="I39" s="1">
        <v>100</v>
      </c>
      <c r="J39" s="1">
        <f t="shared" si="9"/>
        <v>900</v>
      </c>
      <c r="K39" s="1">
        <f t="shared" si="10"/>
        <v>1440</v>
      </c>
      <c r="L39" s="1">
        <f t="shared" si="13"/>
        <v>1.6</v>
      </c>
      <c r="M39" s="1">
        <f t="shared" si="14"/>
        <v>18000</v>
      </c>
      <c r="N39" s="1">
        <f t="shared" si="11"/>
        <v>28800</v>
      </c>
      <c r="O39" s="106"/>
      <c r="P39" s="106"/>
      <c r="T39" s="1">
        <v>36</v>
      </c>
      <c r="U39" s="102">
        <f t="shared" si="2"/>
        <v>1.4000000000000006</v>
      </c>
      <c r="V39" s="102">
        <f t="shared" si="3"/>
        <v>0.88200000000000001</v>
      </c>
      <c r="W39" s="102">
        <f t="shared" si="4"/>
        <v>0.55650000000000044</v>
      </c>
      <c r="X39" s="102">
        <f t="shared" si="5"/>
        <v>0.35000000000000014</v>
      </c>
      <c r="Y39" s="119">
        <f t="shared" si="6"/>
        <v>4</v>
      </c>
      <c r="Z39" s="1">
        <f t="shared" si="7"/>
        <v>15600</v>
      </c>
      <c r="AA39" s="1">
        <f t="shared" si="7"/>
        <v>13500</v>
      </c>
    </row>
    <row r="40" spans="1:27" x14ac:dyDescent="0.2">
      <c r="A40" s="101">
        <v>39</v>
      </c>
      <c r="B40" s="101"/>
      <c r="C40" s="101">
        <f t="shared" si="0"/>
        <v>39</v>
      </c>
      <c r="D40" s="1">
        <v>16</v>
      </c>
      <c r="E40" s="1">
        <v>10</v>
      </c>
      <c r="F40" s="1">
        <v>6</v>
      </c>
      <c r="G40" s="1">
        <v>10</v>
      </c>
      <c r="H40" s="104">
        <f t="shared" si="8"/>
        <v>2</v>
      </c>
      <c r="I40" s="1">
        <v>100</v>
      </c>
      <c r="J40" s="27">
        <f t="shared" si="9"/>
        <v>1000</v>
      </c>
      <c r="K40" s="27">
        <f t="shared" si="10"/>
        <v>1600</v>
      </c>
      <c r="L40" s="1">
        <f t="shared" si="13"/>
        <v>1.6</v>
      </c>
      <c r="M40" s="1">
        <f t="shared" si="14"/>
        <v>20000</v>
      </c>
      <c r="N40" s="1">
        <f t="shared" si="11"/>
        <v>32000</v>
      </c>
      <c r="O40" s="106"/>
      <c r="P40" s="106"/>
      <c r="T40" s="1">
        <v>37</v>
      </c>
      <c r="U40" s="102">
        <f t="shared" si="2"/>
        <v>1.4400000000000006</v>
      </c>
      <c r="V40" s="102">
        <f t="shared" si="3"/>
        <v>0.90720000000000001</v>
      </c>
      <c r="W40" s="102">
        <f t="shared" si="4"/>
        <v>0.57240000000000046</v>
      </c>
      <c r="X40" s="102">
        <f t="shared" si="5"/>
        <v>0.36000000000000015</v>
      </c>
      <c r="Y40" s="119">
        <f t="shared" si="6"/>
        <v>4</v>
      </c>
      <c r="Z40" s="1">
        <f t="shared" si="7"/>
        <v>15760</v>
      </c>
      <c r="AA40" s="1">
        <f t="shared" si="7"/>
        <v>13600</v>
      </c>
    </row>
    <row r="41" spans="1:27" x14ac:dyDescent="0.2">
      <c r="A41" s="101">
        <v>40</v>
      </c>
      <c r="B41" s="101"/>
      <c r="C41" s="101">
        <f t="shared" si="0"/>
        <v>40</v>
      </c>
      <c r="D41" s="1">
        <v>16</v>
      </c>
      <c r="E41" s="1">
        <v>10</v>
      </c>
      <c r="F41" s="1">
        <v>7</v>
      </c>
      <c r="G41" s="1">
        <v>11</v>
      </c>
      <c r="H41" s="104">
        <f t="shared" si="8"/>
        <v>2.2000000000000002</v>
      </c>
      <c r="I41" s="1">
        <v>100</v>
      </c>
      <c r="J41" s="1">
        <f t="shared" si="9"/>
        <v>1100</v>
      </c>
      <c r="K41" s="1">
        <f t="shared" si="10"/>
        <v>1760</v>
      </c>
      <c r="L41" s="1">
        <f t="shared" si="13"/>
        <v>1.6</v>
      </c>
      <c r="M41" s="1">
        <f t="shared" si="14"/>
        <v>22000</v>
      </c>
      <c r="N41" s="1">
        <f t="shared" si="11"/>
        <v>35200</v>
      </c>
      <c r="O41" s="106"/>
      <c r="P41" s="106"/>
      <c r="T41" s="1">
        <v>38</v>
      </c>
      <c r="U41" s="102">
        <f t="shared" si="2"/>
        <v>1.4800000000000006</v>
      </c>
      <c r="V41" s="102">
        <f t="shared" si="3"/>
        <v>0.93240000000000001</v>
      </c>
      <c r="W41" s="102">
        <f t="shared" si="4"/>
        <v>0.58830000000000049</v>
      </c>
      <c r="X41" s="102">
        <f t="shared" si="5"/>
        <v>0.37000000000000016</v>
      </c>
      <c r="Y41" s="119">
        <f t="shared" si="6"/>
        <v>4</v>
      </c>
      <c r="Z41" s="1">
        <f t="shared" si="7"/>
        <v>15920</v>
      </c>
      <c r="AA41" s="1">
        <f t="shared" si="7"/>
        <v>13700</v>
      </c>
    </row>
    <row r="42" spans="1:27" x14ac:dyDescent="0.2">
      <c r="A42" s="101">
        <v>41</v>
      </c>
      <c r="B42" s="101"/>
      <c r="C42" s="101">
        <f t="shared" si="0"/>
        <v>41</v>
      </c>
      <c r="D42" s="1">
        <v>16</v>
      </c>
      <c r="E42" s="1">
        <v>10</v>
      </c>
      <c r="F42" s="1">
        <v>8</v>
      </c>
      <c r="G42" s="1">
        <v>12</v>
      </c>
      <c r="H42" s="104">
        <f t="shared" si="8"/>
        <v>2.4</v>
      </c>
      <c r="I42" s="1">
        <v>100</v>
      </c>
      <c r="J42" s="1">
        <f t="shared" si="9"/>
        <v>1200</v>
      </c>
      <c r="K42" s="1">
        <f t="shared" si="10"/>
        <v>1920</v>
      </c>
      <c r="L42" s="1">
        <f t="shared" si="13"/>
        <v>1.6</v>
      </c>
      <c r="M42" s="1">
        <f t="shared" si="14"/>
        <v>24000</v>
      </c>
      <c r="N42" s="1">
        <f t="shared" si="11"/>
        <v>38400</v>
      </c>
      <c r="O42" s="106"/>
      <c r="P42" s="106"/>
      <c r="T42" s="1">
        <v>39</v>
      </c>
      <c r="U42" s="102">
        <f t="shared" si="2"/>
        <v>1.5200000000000007</v>
      </c>
      <c r="V42" s="102">
        <f t="shared" si="3"/>
        <v>0.95760000000000001</v>
      </c>
      <c r="W42" s="102">
        <f t="shared" si="4"/>
        <v>0.60420000000000051</v>
      </c>
      <c r="X42" s="102">
        <f t="shared" si="5"/>
        <v>0.38000000000000017</v>
      </c>
      <c r="Y42" s="119">
        <f t="shared" si="6"/>
        <v>4</v>
      </c>
      <c r="Z42" s="1">
        <f t="shared" si="7"/>
        <v>16080</v>
      </c>
      <c r="AA42" s="1">
        <f t="shared" si="7"/>
        <v>13800</v>
      </c>
    </row>
    <row r="43" spans="1:27" x14ac:dyDescent="0.2">
      <c r="A43" s="101">
        <v>42</v>
      </c>
      <c r="B43" s="101">
        <v>13</v>
      </c>
      <c r="C43" s="101">
        <f t="shared" si="0"/>
        <v>42</v>
      </c>
      <c r="D43" s="1">
        <v>16</v>
      </c>
      <c r="E43" s="1">
        <v>10</v>
      </c>
      <c r="F43" s="1">
        <v>9</v>
      </c>
      <c r="G43" s="1">
        <v>13</v>
      </c>
      <c r="H43" s="104">
        <f t="shared" si="8"/>
        <v>2.6</v>
      </c>
      <c r="I43" s="1">
        <v>100</v>
      </c>
      <c r="J43" s="1">
        <f t="shared" si="9"/>
        <v>1300</v>
      </c>
      <c r="K43" s="1">
        <f t="shared" si="10"/>
        <v>2080</v>
      </c>
      <c r="L43" s="1">
        <f t="shared" si="13"/>
        <v>1.6</v>
      </c>
      <c r="M43" s="1">
        <f t="shared" si="14"/>
        <v>26000</v>
      </c>
      <c r="N43" s="1">
        <f t="shared" si="11"/>
        <v>41600</v>
      </c>
      <c r="O43" s="106"/>
      <c r="P43" s="106"/>
      <c r="T43" s="1">
        <v>40</v>
      </c>
      <c r="U43" s="102">
        <f t="shared" si="2"/>
        <v>1.5600000000000007</v>
      </c>
      <c r="V43" s="102">
        <f t="shared" si="3"/>
        <v>0.98280000000000001</v>
      </c>
      <c r="W43" s="102">
        <f t="shared" si="4"/>
        <v>0.62010000000000054</v>
      </c>
      <c r="X43" s="102">
        <f t="shared" si="5"/>
        <v>0.39000000000000018</v>
      </c>
      <c r="Y43" s="119">
        <f t="shared" ref="Y43:Y46" si="15">U43/X43</f>
        <v>4</v>
      </c>
      <c r="Z43" s="1">
        <f t="shared" si="7"/>
        <v>16240</v>
      </c>
      <c r="AA43" s="1">
        <f t="shared" si="7"/>
        <v>13900</v>
      </c>
    </row>
    <row r="44" spans="1:27" x14ac:dyDescent="0.2">
      <c r="A44" s="101">
        <v>43</v>
      </c>
      <c r="B44" s="101"/>
      <c r="C44" s="101">
        <f t="shared" si="0"/>
        <v>43</v>
      </c>
      <c r="D44" s="1">
        <v>16</v>
      </c>
      <c r="E44" s="1">
        <v>10</v>
      </c>
      <c r="F44" s="1">
        <v>10</v>
      </c>
      <c r="G44" s="1">
        <v>14</v>
      </c>
      <c r="H44" s="104">
        <f t="shared" si="8"/>
        <v>2.8</v>
      </c>
      <c r="I44" s="1">
        <v>100</v>
      </c>
      <c r="J44" s="1">
        <f t="shared" si="9"/>
        <v>1400</v>
      </c>
      <c r="K44" s="1">
        <f t="shared" si="10"/>
        <v>2240</v>
      </c>
      <c r="L44" s="1">
        <f t="shared" si="13"/>
        <v>1.6</v>
      </c>
      <c r="M44" s="1">
        <f t="shared" si="14"/>
        <v>28000</v>
      </c>
      <c r="N44" s="1">
        <f t="shared" si="11"/>
        <v>44800</v>
      </c>
      <c r="O44" s="106"/>
      <c r="P44" s="106"/>
      <c r="T44" s="1">
        <v>41</v>
      </c>
      <c r="U44" s="102">
        <f t="shared" si="2"/>
        <v>1.6000000000000008</v>
      </c>
      <c r="V44" s="102">
        <f t="shared" si="3"/>
        <v>1.008</v>
      </c>
      <c r="W44" s="102">
        <f t="shared" si="4"/>
        <v>0.63600000000000056</v>
      </c>
      <c r="X44" s="102">
        <f t="shared" si="5"/>
        <v>0.40000000000000019</v>
      </c>
      <c r="Y44" s="119">
        <f t="shared" si="15"/>
        <v>4</v>
      </c>
      <c r="Z44" s="1">
        <f t="shared" ref="Z44:AA46" si="16">10000+(($T44-1)*point_per_hlevel)*Z$3</f>
        <v>16400</v>
      </c>
      <c r="AA44" s="1">
        <f t="shared" si="16"/>
        <v>14000</v>
      </c>
    </row>
    <row r="45" spans="1:27" x14ac:dyDescent="0.2">
      <c r="A45" s="101">
        <v>44</v>
      </c>
      <c r="B45" s="101"/>
      <c r="C45" s="101">
        <f t="shared" si="0"/>
        <v>44</v>
      </c>
      <c r="D45" s="1">
        <v>16</v>
      </c>
      <c r="E45" s="1">
        <v>10</v>
      </c>
      <c r="F45" s="1">
        <v>11</v>
      </c>
      <c r="G45" s="1">
        <v>15</v>
      </c>
      <c r="H45" s="104">
        <f t="shared" si="8"/>
        <v>3</v>
      </c>
      <c r="I45" s="1">
        <v>100</v>
      </c>
      <c r="J45" s="1">
        <f t="shared" si="9"/>
        <v>1500</v>
      </c>
      <c r="K45" s="1">
        <f t="shared" si="10"/>
        <v>2400</v>
      </c>
      <c r="L45" s="1">
        <f t="shared" si="13"/>
        <v>1.6</v>
      </c>
      <c r="M45" s="1">
        <f t="shared" si="14"/>
        <v>30000</v>
      </c>
      <c r="N45" s="1">
        <f t="shared" si="11"/>
        <v>48000</v>
      </c>
      <c r="O45" s="106"/>
      <c r="P45" s="106"/>
      <c r="T45" s="1">
        <v>42</v>
      </c>
      <c r="U45" s="102">
        <f t="shared" si="2"/>
        <v>1.6400000000000008</v>
      </c>
      <c r="V45" s="102">
        <f t="shared" si="3"/>
        <v>1.0331999999999999</v>
      </c>
      <c r="W45" s="102">
        <f t="shared" si="4"/>
        <v>0.65190000000000059</v>
      </c>
      <c r="X45" s="102">
        <f t="shared" si="5"/>
        <v>0.4100000000000002</v>
      </c>
      <c r="Y45" s="119">
        <f t="shared" si="15"/>
        <v>4</v>
      </c>
      <c r="Z45" s="1">
        <f t="shared" si="16"/>
        <v>16560</v>
      </c>
      <c r="AA45" s="1">
        <f t="shared" si="16"/>
        <v>14100</v>
      </c>
    </row>
    <row r="46" spans="1:27" x14ac:dyDescent="0.2">
      <c r="A46" s="101">
        <v>45</v>
      </c>
      <c r="B46" s="101"/>
      <c r="C46" s="101">
        <f t="shared" si="0"/>
        <v>45</v>
      </c>
      <c r="D46" s="1">
        <v>16</v>
      </c>
      <c r="E46" s="1">
        <v>10</v>
      </c>
      <c r="F46" s="1">
        <v>12</v>
      </c>
      <c r="G46" s="1">
        <v>16</v>
      </c>
      <c r="H46" s="104">
        <f t="shared" si="8"/>
        <v>3.2</v>
      </c>
      <c r="I46" s="1">
        <v>100</v>
      </c>
      <c r="J46" s="1">
        <f t="shared" si="9"/>
        <v>1600</v>
      </c>
      <c r="K46" s="1">
        <f t="shared" si="10"/>
        <v>2560</v>
      </c>
      <c r="L46" s="1">
        <f t="shared" si="13"/>
        <v>1.6</v>
      </c>
      <c r="M46" s="1">
        <f t="shared" si="14"/>
        <v>32000</v>
      </c>
      <c r="N46" s="1">
        <f t="shared" si="11"/>
        <v>51200</v>
      </c>
      <c r="O46" s="106"/>
      <c r="P46" s="106"/>
      <c r="T46" s="1">
        <v>43</v>
      </c>
      <c r="U46" s="102">
        <f t="shared" si="2"/>
        <v>1.6800000000000008</v>
      </c>
      <c r="V46" s="102">
        <f t="shared" si="3"/>
        <v>1.0583999999999998</v>
      </c>
      <c r="W46" s="102">
        <f t="shared" si="4"/>
        <v>0.66780000000000062</v>
      </c>
      <c r="X46" s="102">
        <f t="shared" si="5"/>
        <v>0.42000000000000021</v>
      </c>
      <c r="Y46" s="119">
        <f t="shared" si="15"/>
        <v>4</v>
      </c>
      <c r="Z46" s="1">
        <f t="shared" si="16"/>
        <v>16720</v>
      </c>
      <c r="AA46" s="1">
        <f t="shared" si="16"/>
        <v>14200</v>
      </c>
    </row>
    <row r="47" spans="1:27" x14ac:dyDescent="0.2">
      <c r="A47" s="101">
        <v>46</v>
      </c>
      <c r="B47" s="101">
        <v>14</v>
      </c>
      <c r="C47" s="101">
        <f t="shared" si="0"/>
        <v>46</v>
      </c>
      <c r="D47" s="1">
        <v>16</v>
      </c>
      <c r="E47" s="1">
        <v>10</v>
      </c>
      <c r="F47" s="1">
        <v>13</v>
      </c>
      <c r="G47" s="1">
        <v>17</v>
      </c>
      <c r="H47" s="104">
        <f t="shared" si="8"/>
        <v>3.4</v>
      </c>
      <c r="I47" s="1">
        <v>100</v>
      </c>
      <c r="J47" s="1">
        <f t="shared" si="9"/>
        <v>1700</v>
      </c>
      <c r="K47" s="1">
        <f t="shared" si="10"/>
        <v>2720</v>
      </c>
      <c r="L47" s="1">
        <f t="shared" si="13"/>
        <v>1.6</v>
      </c>
      <c r="M47" s="1">
        <f t="shared" si="14"/>
        <v>34000</v>
      </c>
      <c r="N47" s="1">
        <f t="shared" si="11"/>
        <v>54400</v>
      </c>
      <c r="O47" s="106"/>
      <c r="P47" s="106"/>
      <c r="U47" s="102"/>
      <c r="V47" s="102"/>
      <c r="W47" s="102"/>
      <c r="X47" s="102"/>
    </row>
    <row r="48" spans="1:27" x14ac:dyDescent="0.2">
      <c r="A48" s="101">
        <v>47</v>
      </c>
      <c r="B48" s="101"/>
      <c r="C48" s="101">
        <f t="shared" si="0"/>
        <v>47</v>
      </c>
      <c r="D48" s="1">
        <v>16</v>
      </c>
      <c r="E48" s="1">
        <v>10</v>
      </c>
      <c r="F48" s="1">
        <v>14</v>
      </c>
      <c r="G48" s="1">
        <v>18</v>
      </c>
      <c r="H48" s="104">
        <f t="shared" si="8"/>
        <v>3.6</v>
      </c>
      <c r="I48" s="1">
        <v>100</v>
      </c>
      <c r="J48" s="1">
        <f t="shared" si="9"/>
        <v>1800</v>
      </c>
      <c r="K48" s="1">
        <f t="shared" si="10"/>
        <v>2880</v>
      </c>
      <c r="L48" s="1">
        <f t="shared" si="13"/>
        <v>1.6</v>
      </c>
      <c r="M48" s="1">
        <f t="shared" si="14"/>
        <v>36000</v>
      </c>
      <c r="N48" s="1">
        <f t="shared" si="11"/>
        <v>57600</v>
      </c>
      <c r="O48" s="106"/>
      <c r="P48" s="106"/>
      <c r="U48" s="102"/>
      <c r="V48" s="102"/>
      <c r="W48" s="102"/>
      <c r="X48" s="102"/>
    </row>
    <row r="49" spans="1:25" x14ac:dyDescent="0.2">
      <c r="A49" s="101">
        <v>48</v>
      </c>
      <c r="B49" s="101"/>
      <c r="C49" s="101">
        <f t="shared" si="0"/>
        <v>48</v>
      </c>
      <c r="D49" s="1">
        <v>16</v>
      </c>
      <c r="E49" s="1">
        <v>10</v>
      </c>
      <c r="F49" s="1">
        <v>15</v>
      </c>
      <c r="G49" s="1">
        <v>19</v>
      </c>
      <c r="H49" s="104">
        <f t="shared" si="8"/>
        <v>3.8</v>
      </c>
      <c r="I49" s="1">
        <v>100</v>
      </c>
      <c r="J49" s="1">
        <f t="shared" si="9"/>
        <v>1900</v>
      </c>
      <c r="K49" s="1">
        <f t="shared" si="10"/>
        <v>3040</v>
      </c>
      <c r="L49" s="1">
        <f t="shared" si="13"/>
        <v>1.6</v>
      </c>
      <c r="M49" s="1">
        <f t="shared" si="14"/>
        <v>38000</v>
      </c>
      <c r="N49" s="1">
        <f t="shared" si="11"/>
        <v>60800</v>
      </c>
      <c r="O49" s="106"/>
      <c r="P49" s="106"/>
      <c r="U49" s="102" t="s">
        <v>248</v>
      </c>
      <c r="V49" s="102"/>
      <c r="W49" s="102"/>
      <c r="X49" s="102"/>
    </row>
    <row r="50" spans="1:25" x14ac:dyDescent="0.2">
      <c r="A50" s="101">
        <v>49</v>
      </c>
      <c r="B50" s="101"/>
      <c r="C50" s="101">
        <f t="shared" si="0"/>
        <v>49</v>
      </c>
      <c r="D50" s="1">
        <v>16</v>
      </c>
      <c r="E50" s="1">
        <v>10</v>
      </c>
      <c r="F50" s="1">
        <v>16</v>
      </c>
      <c r="G50" s="1">
        <v>20</v>
      </c>
      <c r="H50" s="104">
        <f t="shared" si="8"/>
        <v>4</v>
      </c>
      <c r="I50" s="1">
        <v>100</v>
      </c>
      <c r="J50" s="1">
        <f t="shared" si="9"/>
        <v>2000</v>
      </c>
      <c r="K50" s="1">
        <f t="shared" si="10"/>
        <v>3200</v>
      </c>
      <c r="L50" s="1">
        <f t="shared" si="13"/>
        <v>1.6</v>
      </c>
      <c r="M50" s="1">
        <f t="shared" si="14"/>
        <v>40000</v>
      </c>
      <c r="N50" s="1">
        <f t="shared" si="11"/>
        <v>64000</v>
      </c>
      <c r="O50" s="106"/>
      <c r="P50" s="106"/>
      <c r="U50" s="102">
        <f>13*0.3</f>
        <v>3.9</v>
      </c>
      <c r="V50" s="102" t="s">
        <v>249</v>
      </c>
      <c r="W50" s="102"/>
      <c r="X50" s="102"/>
    </row>
    <row r="51" spans="1:25" x14ac:dyDescent="0.2">
      <c r="A51" s="101">
        <v>50</v>
      </c>
      <c r="B51" s="101">
        <v>15</v>
      </c>
      <c r="C51" s="101">
        <f t="shared" si="0"/>
        <v>50</v>
      </c>
      <c r="D51" s="1">
        <v>16</v>
      </c>
      <c r="E51" s="1">
        <v>10</v>
      </c>
      <c r="U51" s="143">
        <f>U50/10</f>
        <v>0.39</v>
      </c>
      <c r="V51" s="102"/>
      <c r="W51" s="102"/>
      <c r="X51" s="102"/>
    </row>
    <row r="52" spans="1:25" x14ac:dyDescent="0.2">
      <c r="U52" s="102"/>
      <c r="V52" s="102"/>
      <c r="W52" s="102"/>
      <c r="X52" s="102"/>
    </row>
    <row r="53" spans="1:25" x14ac:dyDescent="0.2">
      <c r="F53" s="138" t="s">
        <v>239</v>
      </c>
      <c r="G53" s="138"/>
      <c r="H53" s="27"/>
      <c r="I53" s="27"/>
      <c r="J53" s="27"/>
      <c r="K53" s="27"/>
      <c r="M53" s="122">
        <v>0.01</v>
      </c>
      <c r="U53" s="102"/>
      <c r="V53" s="102"/>
      <c r="W53" s="102"/>
      <c r="X53" s="102"/>
    </row>
    <row r="54" spans="1:25" x14ac:dyDescent="0.2">
      <c r="F54" s="138"/>
      <c r="G54" s="138"/>
      <c r="H54" s="27"/>
      <c r="I54" s="27"/>
      <c r="J54" s="27"/>
      <c r="K54" s="27"/>
      <c r="M54" s="122">
        <v>1.5874010519681993E-2</v>
      </c>
      <c r="U54" s="121" t="s">
        <v>214</v>
      </c>
      <c r="V54" s="121" t="e">
        <f>U53/V53</f>
        <v>#DIV/0!</v>
      </c>
      <c r="W54" s="121" t="e">
        <f>V53/W53</f>
        <v>#DIV/0!</v>
      </c>
      <c r="X54" s="121" t="e">
        <f>W53/X53</f>
        <v>#DIV/0!</v>
      </c>
    </row>
    <row r="55" spans="1:25" x14ac:dyDescent="0.2">
      <c r="F55" s="138"/>
      <c r="G55" s="138"/>
      <c r="H55" s="27"/>
      <c r="I55" s="27"/>
      <c r="J55" s="27"/>
      <c r="K55" s="27"/>
      <c r="M55" s="122">
        <v>2.5198420997897458E-2</v>
      </c>
      <c r="U55" s="102"/>
      <c r="V55" s="102"/>
      <c r="W55" s="102"/>
      <c r="X55" s="102"/>
    </row>
    <row r="56" spans="1:25" x14ac:dyDescent="0.2">
      <c r="A56" s="101" t="s">
        <v>153</v>
      </c>
      <c r="F56" s="138"/>
      <c r="G56" s="138"/>
      <c r="H56" s="27"/>
      <c r="I56" s="27"/>
      <c r="J56" s="27"/>
      <c r="K56" s="27"/>
      <c r="M56" s="122">
        <v>3.9999999999999987E-2</v>
      </c>
      <c r="P56" s="1" t="s">
        <v>247</v>
      </c>
      <c r="T56" s="102" t="s">
        <v>260</v>
      </c>
      <c r="U56" s="102"/>
      <c r="V56" s="102"/>
      <c r="W56" s="102" t="s">
        <v>313</v>
      </c>
      <c r="X56" s="102"/>
    </row>
    <row r="57" spans="1:25" x14ac:dyDescent="0.2">
      <c r="A57" s="101" t="s">
        <v>154</v>
      </c>
      <c r="F57" s="138"/>
      <c r="G57" s="138"/>
      <c r="H57" s="27"/>
      <c r="I57" s="27"/>
      <c r="J57" s="27"/>
      <c r="K57" s="27"/>
      <c r="T57" s="1" t="s">
        <v>259</v>
      </c>
      <c r="U57" s="102"/>
      <c r="V57" s="102"/>
      <c r="W57" s="102" t="s">
        <v>314</v>
      </c>
      <c r="X57" s="102" t="s">
        <v>315</v>
      </c>
      <c r="Y57" s="119" t="s">
        <v>323</v>
      </c>
    </row>
    <row r="58" spans="1:25" x14ac:dyDescent="0.2">
      <c r="A58" s="101" t="s">
        <v>155</v>
      </c>
      <c r="F58" s="138"/>
      <c r="G58" s="138"/>
      <c r="H58" s="27"/>
      <c r="I58" s="27"/>
      <c r="J58" s="27"/>
      <c r="K58" s="27"/>
      <c r="T58" s="1" t="s">
        <v>217</v>
      </c>
      <c r="U58" s="144">
        <v>9.999999999999995E-3</v>
      </c>
      <c r="V58" s="102"/>
      <c r="W58" s="143">
        <v>0.01</v>
      </c>
      <c r="X58" s="143">
        <v>0.01</v>
      </c>
      <c r="Y58" s="144">
        <v>9.9999999999999933E-3</v>
      </c>
    </row>
    <row r="59" spans="1:25" x14ac:dyDescent="0.2">
      <c r="A59" s="101" t="s">
        <v>156</v>
      </c>
      <c r="F59" s="138"/>
      <c r="G59" s="138"/>
      <c r="H59" s="27"/>
      <c r="I59" s="27"/>
      <c r="J59" s="27"/>
      <c r="K59" s="27"/>
      <c r="T59" s="1" t="s">
        <v>257</v>
      </c>
      <c r="U59" s="144">
        <v>2.6591479484724935E-2</v>
      </c>
      <c r="V59" s="102">
        <f>U59/U58</f>
        <v>2.6591479484724947</v>
      </c>
      <c r="Y59" s="144">
        <v>2.3403473193207153E-2</v>
      </c>
    </row>
    <row r="60" spans="1:25" x14ac:dyDescent="0.2">
      <c r="A60" s="101" t="s">
        <v>157</v>
      </c>
      <c r="F60" s="138"/>
      <c r="G60" s="138"/>
      <c r="H60" s="27"/>
      <c r="I60" s="27"/>
      <c r="J60" s="27"/>
      <c r="K60" s="27"/>
      <c r="T60" s="1" t="s">
        <v>210</v>
      </c>
      <c r="U60" s="144">
        <v>7.0710678118654738E-2</v>
      </c>
      <c r="V60" s="102">
        <f t="shared" ref="V60:V62" si="17">U60/U59</f>
        <v>2.6591479484724947</v>
      </c>
      <c r="W60" s="143"/>
      <c r="X60" s="143"/>
      <c r="Y60" s="144">
        <v>5.477225575051662E-2</v>
      </c>
    </row>
    <row r="61" spans="1:25" x14ac:dyDescent="0.2">
      <c r="F61" s="138"/>
      <c r="G61" s="138"/>
      <c r="H61" s="27"/>
      <c r="I61" s="27"/>
      <c r="J61" s="27"/>
      <c r="K61" s="27"/>
      <c r="T61" s="1" t="s">
        <v>219</v>
      </c>
      <c r="U61" s="144">
        <v>0.18803015465431969</v>
      </c>
      <c r="V61" s="102">
        <f t="shared" si="17"/>
        <v>2.6591479484724951</v>
      </c>
      <c r="W61" s="143"/>
      <c r="X61" s="143"/>
      <c r="Y61" s="144">
        <v>0.12818610191887028</v>
      </c>
    </row>
    <row r="62" spans="1:25" x14ac:dyDescent="0.2">
      <c r="F62" s="138"/>
      <c r="G62" s="138"/>
      <c r="H62" s="27"/>
      <c r="I62" s="27"/>
      <c r="J62" s="27"/>
      <c r="K62" s="27"/>
      <c r="P62" s="71">
        <v>0.3</v>
      </c>
      <c r="Q62" s="71">
        <v>0.3</v>
      </c>
      <c r="R62" s="1" t="s">
        <v>250</v>
      </c>
      <c r="T62" s="1" t="s">
        <v>258</v>
      </c>
      <c r="U62" s="152">
        <v>0.5</v>
      </c>
      <c r="V62" s="102">
        <f t="shared" si="17"/>
        <v>2.6591479484724942</v>
      </c>
      <c r="W62" s="143">
        <v>0.2</v>
      </c>
      <c r="X62" s="143">
        <v>0.4</v>
      </c>
      <c r="Y62" s="144">
        <v>0.30000000000000032</v>
      </c>
    </row>
    <row r="63" spans="1:25" x14ac:dyDescent="0.2">
      <c r="F63" s="138"/>
      <c r="G63" s="138"/>
      <c r="H63" s="27"/>
      <c r="I63" s="27"/>
      <c r="J63" s="27"/>
      <c r="K63" s="27"/>
      <c r="M63" s="1" t="s">
        <v>251</v>
      </c>
      <c r="N63" s="1" t="s">
        <v>253</v>
      </c>
      <c r="O63" s="1" t="s">
        <v>256</v>
      </c>
      <c r="P63" s="1" t="s">
        <v>254</v>
      </c>
      <c r="Q63" s="1" t="s">
        <v>255</v>
      </c>
      <c r="U63" s="102"/>
      <c r="V63" s="102"/>
      <c r="W63" s="102"/>
      <c r="X63" s="102"/>
    </row>
    <row r="64" spans="1:25" x14ac:dyDescent="0.2">
      <c r="A64" s="1" t="s">
        <v>324</v>
      </c>
      <c r="C64" s="101" t="s">
        <v>325</v>
      </c>
      <c r="F64" s="27"/>
      <c r="G64" s="27"/>
      <c r="H64" s="27"/>
      <c r="I64" s="27"/>
      <c r="J64" s="27"/>
      <c r="K64" s="27"/>
      <c r="M64" s="1">
        <v>100</v>
      </c>
      <c r="T64" s="1" t="s">
        <v>262</v>
      </c>
      <c r="U64" s="102"/>
      <c r="V64" s="102" t="s">
        <v>261</v>
      </c>
      <c r="X64" s="102"/>
    </row>
    <row r="65" spans="1:25" x14ac:dyDescent="0.2">
      <c r="A65" s="1">
        <v>1</v>
      </c>
      <c r="B65" s="101">
        <v>4852</v>
      </c>
      <c r="C65" s="123">
        <f>B65*0.75</f>
        <v>3639</v>
      </c>
      <c r="F65" s="27"/>
      <c r="G65" s="27"/>
      <c r="H65" s="27"/>
      <c r="I65" s="27"/>
      <c r="J65" s="27"/>
      <c r="K65" s="27"/>
      <c r="L65" s="1" t="s">
        <v>252</v>
      </c>
      <c r="T65" s="1" t="s">
        <v>217</v>
      </c>
      <c r="U65" s="144">
        <v>2.9999999999999978E-2</v>
      </c>
      <c r="V65" s="144">
        <f>U65/3</f>
        <v>9.9999999999999933E-3</v>
      </c>
      <c r="W65" s="102" t="s">
        <v>282</v>
      </c>
    </row>
    <row r="66" spans="1:25" x14ac:dyDescent="0.2">
      <c r="A66" s="1">
        <v>2</v>
      </c>
      <c r="B66" s="101">
        <v>5178</v>
      </c>
      <c r="C66" s="123">
        <f t="shared" ref="C66:C114" si="18">B66*0.75</f>
        <v>3883.5</v>
      </c>
      <c r="F66" s="101" t="s">
        <v>246</v>
      </c>
      <c r="M66" s="1" t="s">
        <v>263</v>
      </c>
      <c r="T66" s="1" t="s">
        <v>257</v>
      </c>
      <c r="U66" s="144">
        <v>7.2084342424042616E-2</v>
      </c>
      <c r="V66" s="144">
        <f t="shared" ref="V66:V69" si="19">U66/3</f>
        <v>2.4028114141347538E-2</v>
      </c>
      <c r="W66" s="1">
        <v>0</v>
      </c>
      <c r="X66" s="140">
        <v>-3.6429192995512949E-17</v>
      </c>
      <c r="Y66" s="172">
        <f>X66/9</f>
        <v>-4.0476881106125501E-18</v>
      </c>
    </row>
    <row r="67" spans="1:25" x14ac:dyDescent="0.2">
      <c r="A67" s="1">
        <v>3</v>
      </c>
      <c r="B67" s="101">
        <v>6606</v>
      </c>
      <c r="C67" s="123">
        <f t="shared" si="18"/>
        <v>4954.5</v>
      </c>
      <c r="E67" s="103" t="s">
        <v>273</v>
      </c>
      <c r="F67" s="1" t="s">
        <v>278</v>
      </c>
      <c r="M67" s="145" t="s">
        <v>265</v>
      </c>
      <c r="N67" s="145"/>
      <c r="T67" s="1" t="s">
        <v>210</v>
      </c>
      <c r="U67" s="144">
        <v>0.17320508075688781</v>
      </c>
      <c r="V67" s="144">
        <f t="shared" si="19"/>
        <v>5.7735026918962602E-2</v>
      </c>
      <c r="W67" s="101">
        <v>1</v>
      </c>
      <c r="X67" s="140">
        <v>1.1999999999999966E-2</v>
      </c>
      <c r="Y67" s="172">
        <f t="shared" ref="Y67:Y91" si="20">X67/9</f>
        <v>1.3333333333333296E-3</v>
      </c>
    </row>
    <row r="68" spans="1:25" x14ac:dyDescent="0.2">
      <c r="A68" s="1">
        <v>4</v>
      </c>
      <c r="B68" s="101">
        <v>8169</v>
      </c>
      <c r="C68" s="123">
        <f t="shared" si="18"/>
        <v>6126.75</v>
      </c>
      <c r="E68" s="147"/>
      <c r="F68" s="147" t="s">
        <v>274</v>
      </c>
      <c r="G68" s="27" t="s">
        <v>275</v>
      </c>
      <c r="H68" s="147" t="s">
        <v>272</v>
      </c>
      <c r="I68" s="147" t="s">
        <v>276</v>
      </c>
      <c r="J68" s="147" t="s">
        <v>277</v>
      </c>
      <c r="M68" s="1" t="s">
        <v>279</v>
      </c>
      <c r="N68" s="1" t="s">
        <v>266</v>
      </c>
      <c r="O68" s="1" t="s">
        <v>267</v>
      </c>
      <c r="P68" s="1" t="s">
        <v>268</v>
      </c>
      <c r="T68" s="1" t="s">
        <v>219</v>
      </c>
      <c r="U68" s="144">
        <v>0.41617914502878223</v>
      </c>
      <c r="V68" s="144">
        <f t="shared" si="19"/>
        <v>0.13872638167626075</v>
      </c>
      <c r="W68" s="101">
        <v>2</v>
      </c>
      <c r="X68" s="140">
        <v>2.3999999999999966E-2</v>
      </c>
      <c r="Y68" s="172">
        <f t="shared" si="20"/>
        <v>2.6666666666666627E-3</v>
      </c>
    </row>
    <row r="69" spans="1:25" x14ac:dyDescent="0.2">
      <c r="A69" s="1">
        <v>5</v>
      </c>
      <c r="B69" s="101">
        <v>11889</v>
      </c>
      <c r="C69" s="123">
        <f t="shared" si="18"/>
        <v>8916.75</v>
      </c>
      <c r="E69" s="147" t="s">
        <v>271</v>
      </c>
      <c r="F69" s="146">
        <v>1.1000000000000001</v>
      </c>
      <c r="G69" s="105">
        <v>0.01</v>
      </c>
      <c r="H69" s="146">
        <f>F69+(50*G69)</f>
        <v>1.6</v>
      </c>
      <c r="I69" s="147" t="s">
        <v>269</v>
      </c>
      <c r="J69" s="27"/>
      <c r="M69" s="150">
        <f>H73</f>
        <v>9.75</v>
      </c>
      <c r="N69" s="151">
        <f>U62</f>
        <v>0.5</v>
      </c>
      <c r="O69" s="150">
        <f>T81</f>
        <v>0.30000000000000004</v>
      </c>
      <c r="P69" s="150">
        <f>X91</f>
        <v>0.30000000000000004</v>
      </c>
      <c r="T69" s="1" t="s">
        <v>258</v>
      </c>
      <c r="U69" s="144">
        <v>1.0000000000000018</v>
      </c>
      <c r="V69" s="144">
        <f t="shared" si="19"/>
        <v>0.33333333333333393</v>
      </c>
      <c r="W69" s="101">
        <v>3</v>
      </c>
      <c r="X69" s="140">
        <v>3.599999999999997E-2</v>
      </c>
      <c r="Y69" s="172">
        <f t="shared" si="20"/>
        <v>3.9999999999999966E-3</v>
      </c>
    </row>
    <row r="70" spans="1:25" x14ac:dyDescent="0.2">
      <c r="A70" s="1">
        <v>6</v>
      </c>
      <c r="B70" s="101">
        <v>14321</v>
      </c>
      <c r="C70" s="123">
        <f t="shared" si="18"/>
        <v>10740.75</v>
      </c>
      <c r="E70" s="147" t="s">
        <v>212</v>
      </c>
      <c r="F70" s="146">
        <f>F69+0.1</f>
        <v>1.2000000000000002</v>
      </c>
      <c r="G70" s="105">
        <v>2.8000000000000001E-2</v>
      </c>
      <c r="H70" s="146">
        <f t="shared" ref="H70:H73" si="21">F70+(50*G70)</f>
        <v>2.6000000000000005</v>
      </c>
      <c r="I70" s="146">
        <f>H70/H$69</f>
        <v>1.6250000000000002</v>
      </c>
      <c r="J70" s="27"/>
      <c r="L70" s="1" t="s">
        <v>264</v>
      </c>
      <c r="Q70" s="148" t="s">
        <v>281</v>
      </c>
      <c r="W70" s="101">
        <v>4</v>
      </c>
      <c r="X70" s="140">
        <v>4.7999999999999973E-2</v>
      </c>
      <c r="Y70" s="172">
        <f t="shared" si="20"/>
        <v>5.3333333333333306E-3</v>
      </c>
    </row>
    <row r="71" spans="1:25" x14ac:dyDescent="0.2">
      <c r="A71" s="1">
        <v>7</v>
      </c>
      <c r="B71" s="101">
        <v>17478</v>
      </c>
      <c r="C71" s="123">
        <f t="shared" si="18"/>
        <v>13108.5</v>
      </c>
      <c r="E71" s="147" t="s">
        <v>210</v>
      </c>
      <c r="F71" s="146">
        <f t="shared" ref="F71:F73" si="22">F70+0.1</f>
        <v>1.3000000000000003</v>
      </c>
      <c r="G71" s="105">
        <v>5.6000000000000001E-2</v>
      </c>
      <c r="H71" s="146">
        <f t="shared" si="21"/>
        <v>4.1000000000000005</v>
      </c>
      <c r="I71" s="146">
        <f t="shared" ref="I71:I73" si="23">H71/H70</f>
        <v>1.5769230769230769</v>
      </c>
      <c r="J71" s="147" t="s">
        <v>270</v>
      </c>
      <c r="L71" s="27">
        <v>100</v>
      </c>
      <c r="M71" s="171">
        <f>L71*M69</f>
        <v>975</v>
      </c>
      <c r="N71" s="171">
        <f>L71*(1+((M69-1)*(1+N69)))</f>
        <v>1412.5</v>
      </c>
      <c r="O71" s="171">
        <f>N71*(1+O69)</f>
        <v>1836.25</v>
      </c>
      <c r="P71" s="171">
        <f>N71*(1+(O69+P69))</f>
        <v>2260</v>
      </c>
      <c r="Q71" s="27">
        <f>P71/L71</f>
        <v>22.6</v>
      </c>
      <c r="R71" s="1" t="s">
        <v>280</v>
      </c>
      <c r="S71" s="1" t="s">
        <v>320</v>
      </c>
      <c r="W71" s="101">
        <v>5</v>
      </c>
      <c r="X71" s="140">
        <v>5.999999999999997E-2</v>
      </c>
      <c r="Y71" s="172">
        <f t="shared" si="20"/>
        <v>6.6666666666666636E-3</v>
      </c>
    </row>
    <row r="72" spans="1:25" x14ac:dyDescent="0.2">
      <c r="A72" s="1">
        <v>8</v>
      </c>
      <c r="B72" s="101">
        <v>22921</v>
      </c>
      <c r="C72" s="123">
        <f t="shared" si="18"/>
        <v>17190.75</v>
      </c>
      <c r="E72" s="147" t="s">
        <v>219</v>
      </c>
      <c r="F72" s="146">
        <f t="shared" si="22"/>
        <v>1.4000000000000004</v>
      </c>
      <c r="G72" s="105">
        <v>9.9000000000000005E-2</v>
      </c>
      <c r="H72" s="146">
        <f t="shared" si="21"/>
        <v>6.3500000000000005</v>
      </c>
      <c r="I72" s="146">
        <f t="shared" si="23"/>
        <v>1.5487804878048779</v>
      </c>
      <c r="J72" s="27">
        <f>H72/H$71</f>
        <v>1.5487804878048779</v>
      </c>
      <c r="S72" s="1">
        <v>1</v>
      </c>
      <c r="T72" s="139">
        <v>0.1</v>
      </c>
      <c r="W72" s="101">
        <v>6</v>
      </c>
      <c r="X72" s="140">
        <v>7.1999999999999981E-2</v>
      </c>
      <c r="Y72" s="172">
        <f t="shared" si="20"/>
        <v>7.9999999999999984E-3</v>
      </c>
    </row>
    <row r="73" spans="1:25" x14ac:dyDescent="0.2">
      <c r="A73" s="1">
        <v>9</v>
      </c>
      <c r="B73" s="101">
        <v>27889</v>
      </c>
      <c r="C73" s="123">
        <f t="shared" si="18"/>
        <v>20916.75</v>
      </c>
      <c r="E73" s="147" t="s">
        <v>258</v>
      </c>
      <c r="F73" s="146">
        <f t="shared" si="22"/>
        <v>1.5000000000000004</v>
      </c>
      <c r="G73" s="105">
        <v>0.16500000000000001</v>
      </c>
      <c r="H73" s="149">
        <f t="shared" si="21"/>
        <v>9.75</v>
      </c>
      <c r="I73" s="146">
        <f t="shared" si="23"/>
        <v>1.5354330708661417</v>
      </c>
      <c r="J73" s="146">
        <f>H73/H$71</f>
        <v>2.3780487804878048</v>
      </c>
      <c r="L73" s="1" t="s">
        <v>311</v>
      </c>
      <c r="S73" s="1">
        <v>2</v>
      </c>
      <c r="T73" s="139">
        <v>0.12222222222222223</v>
      </c>
      <c r="W73" s="101">
        <v>7</v>
      </c>
      <c r="X73" s="140">
        <v>8.3999999999999977E-2</v>
      </c>
      <c r="Y73" s="172">
        <f t="shared" si="20"/>
        <v>9.3333333333333306E-3</v>
      </c>
    </row>
    <row r="74" spans="1:25" x14ac:dyDescent="0.2">
      <c r="A74" s="1">
        <v>10</v>
      </c>
      <c r="B74" s="101">
        <v>32062</v>
      </c>
      <c r="C74" s="123">
        <f t="shared" si="18"/>
        <v>24046.5</v>
      </c>
      <c r="L74" s="1">
        <v>1000</v>
      </c>
      <c r="M74" s="1" t="s">
        <v>312</v>
      </c>
      <c r="S74" s="1">
        <v>3</v>
      </c>
      <c r="T74" s="139">
        <v>0.14444444444444443</v>
      </c>
      <c r="W74" s="101">
        <v>8</v>
      </c>
      <c r="X74" s="140">
        <v>9.5999999999999974E-2</v>
      </c>
      <c r="Y74" s="172">
        <f t="shared" si="20"/>
        <v>1.0666666666666665E-2</v>
      </c>
    </row>
    <row r="75" spans="1:25" x14ac:dyDescent="0.2">
      <c r="A75" s="1">
        <v>11</v>
      </c>
      <c r="B75" s="101">
        <v>33454</v>
      </c>
      <c r="C75" s="123">
        <f t="shared" si="18"/>
        <v>25090.5</v>
      </c>
      <c r="L75" s="1" t="s">
        <v>317</v>
      </c>
      <c r="S75" s="1">
        <v>4</v>
      </c>
      <c r="T75" s="139">
        <v>0.16666666666666669</v>
      </c>
      <c r="W75" s="101">
        <v>9</v>
      </c>
      <c r="X75" s="140">
        <v>0.10799999999999998</v>
      </c>
      <c r="Y75" s="172">
        <f t="shared" si="20"/>
        <v>1.1999999999999999E-2</v>
      </c>
    </row>
    <row r="76" spans="1:25" x14ac:dyDescent="0.2">
      <c r="A76" s="1">
        <v>12</v>
      </c>
      <c r="B76" s="101">
        <v>46988</v>
      </c>
      <c r="C76" s="123">
        <f t="shared" si="18"/>
        <v>35241</v>
      </c>
      <c r="L76" s="1" t="s">
        <v>316</v>
      </c>
      <c r="S76" s="1">
        <v>5</v>
      </c>
      <c r="T76" s="139">
        <v>0.18888888888888888</v>
      </c>
      <c r="W76" s="101">
        <v>10</v>
      </c>
      <c r="X76" s="140">
        <v>0.12</v>
      </c>
      <c r="Y76" s="172">
        <f t="shared" si="20"/>
        <v>1.3333333333333332E-2</v>
      </c>
    </row>
    <row r="77" spans="1:25" x14ac:dyDescent="0.2">
      <c r="A77" s="1">
        <v>13</v>
      </c>
      <c r="B77" s="101">
        <v>53002</v>
      </c>
      <c r="C77" s="123">
        <f t="shared" si="18"/>
        <v>39751.5</v>
      </c>
      <c r="L77" s="1" t="s">
        <v>318</v>
      </c>
      <c r="S77" s="1">
        <v>6</v>
      </c>
      <c r="T77" s="139">
        <v>0.21111111111111111</v>
      </c>
      <c r="W77" s="101">
        <v>11</v>
      </c>
      <c r="X77" s="140">
        <v>0.13199999999999998</v>
      </c>
      <c r="Y77" s="172">
        <f t="shared" si="20"/>
        <v>1.4666666666666665E-2</v>
      </c>
    </row>
    <row r="78" spans="1:25" x14ac:dyDescent="0.2">
      <c r="A78" s="1">
        <v>14</v>
      </c>
      <c r="B78" s="101">
        <v>55164</v>
      </c>
      <c r="C78" s="123">
        <f t="shared" si="18"/>
        <v>41373</v>
      </c>
      <c r="L78" s="1" t="s">
        <v>319</v>
      </c>
      <c r="S78" s="1">
        <v>7</v>
      </c>
      <c r="T78" s="139">
        <v>0.23333333333333334</v>
      </c>
      <c r="W78" s="101">
        <v>12</v>
      </c>
      <c r="X78" s="140">
        <v>0.14399999999999999</v>
      </c>
      <c r="Y78" s="172">
        <f t="shared" si="20"/>
        <v>1.6E-2</v>
      </c>
    </row>
    <row r="79" spans="1:25" x14ac:dyDescent="0.2">
      <c r="A79" s="1">
        <v>15</v>
      </c>
      <c r="B79" s="101">
        <v>74045</v>
      </c>
      <c r="C79" s="123">
        <f t="shared" si="18"/>
        <v>55533.75</v>
      </c>
      <c r="L79" s="1" t="s">
        <v>321</v>
      </c>
      <c r="S79" s="1">
        <v>8</v>
      </c>
      <c r="T79" s="139">
        <v>0.25555555555555554</v>
      </c>
      <c r="W79" s="101">
        <v>13</v>
      </c>
      <c r="X79" s="140">
        <v>0.156</v>
      </c>
      <c r="Y79" s="172">
        <f t="shared" si="20"/>
        <v>1.7333333333333333E-2</v>
      </c>
    </row>
    <row r="80" spans="1:25" x14ac:dyDescent="0.2">
      <c r="A80" s="1">
        <v>16</v>
      </c>
      <c r="B80" s="101">
        <v>82434</v>
      </c>
      <c r="C80" s="123">
        <f t="shared" si="18"/>
        <v>61825.5</v>
      </c>
      <c r="L80" s="1" t="s">
        <v>322</v>
      </c>
      <c r="S80" s="1">
        <v>9</v>
      </c>
      <c r="T80" s="139">
        <v>0.27777777777777779</v>
      </c>
      <c r="W80" s="101">
        <v>14</v>
      </c>
      <c r="X80" s="140">
        <v>0.16799999999999998</v>
      </c>
      <c r="Y80" s="172">
        <f t="shared" si="20"/>
        <v>1.8666666666666665E-2</v>
      </c>
    </row>
    <row r="81" spans="1:25" x14ac:dyDescent="0.2">
      <c r="A81" s="1">
        <v>17</v>
      </c>
      <c r="B81" s="101">
        <v>85563</v>
      </c>
      <c r="C81" s="123">
        <f t="shared" si="18"/>
        <v>64172.25</v>
      </c>
      <c r="S81" s="1">
        <v>10</v>
      </c>
      <c r="T81" s="153">
        <v>0.30000000000000004</v>
      </c>
      <c r="W81" s="101">
        <v>15</v>
      </c>
      <c r="X81" s="140">
        <v>0.18</v>
      </c>
      <c r="Y81" s="172">
        <f t="shared" si="20"/>
        <v>0.02</v>
      </c>
    </row>
    <row r="82" spans="1:25" x14ac:dyDescent="0.2">
      <c r="A82" s="1">
        <v>18</v>
      </c>
      <c r="B82" s="101">
        <v>97149</v>
      </c>
      <c r="C82" s="123">
        <f t="shared" si="18"/>
        <v>72861.75</v>
      </c>
      <c r="F82" s="1">
        <f>1000 * (1.5 * 1.5)</f>
        <v>2250</v>
      </c>
      <c r="G82" s="1">
        <f>1.5*1.5</f>
        <v>2.25</v>
      </c>
      <c r="W82" s="101">
        <v>16</v>
      </c>
      <c r="X82" s="140">
        <v>0.192</v>
      </c>
      <c r="Y82" s="172">
        <f t="shared" si="20"/>
        <v>2.1333333333333333E-2</v>
      </c>
    </row>
    <row r="83" spans="1:25" x14ac:dyDescent="0.2">
      <c r="A83" s="1">
        <v>19</v>
      </c>
      <c r="B83" s="101">
        <v>107002</v>
      </c>
      <c r="C83" s="123">
        <f t="shared" si="18"/>
        <v>80251.5</v>
      </c>
      <c r="F83" s="1">
        <f>1000*(1+(0.5 * 1.5))</f>
        <v>1750</v>
      </c>
      <c r="G83" s="1">
        <f>(1+(0.5 * 1.5))</f>
        <v>1.75</v>
      </c>
      <c r="W83" s="101">
        <v>17</v>
      </c>
      <c r="X83" s="140">
        <v>0.20399999999999999</v>
      </c>
      <c r="Y83" s="172">
        <f t="shared" si="20"/>
        <v>2.2666666666666665E-2</v>
      </c>
    </row>
    <row r="84" spans="1:25" x14ac:dyDescent="0.2">
      <c r="A84" s="1">
        <v>20</v>
      </c>
      <c r="B84" s="101">
        <v>126652</v>
      </c>
      <c r="C84" s="123">
        <f t="shared" si="18"/>
        <v>94989</v>
      </c>
      <c r="W84" s="101">
        <v>18</v>
      </c>
      <c r="X84" s="140">
        <v>0.216</v>
      </c>
      <c r="Y84" s="172">
        <f t="shared" si="20"/>
        <v>2.4E-2</v>
      </c>
    </row>
    <row r="85" spans="1:25" x14ac:dyDescent="0.2">
      <c r="A85" s="1">
        <v>21</v>
      </c>
      <c r="B85" s="101">
        <v>144060</v>
      </c>
      <c r="C85" s="123">
        <f t="shared" si="18"/>
        <v>108045</v>
      </c>
      <c r="F85" s="1" t="s">
        <v>350</v>
      </c>
      <c r="W85" s="101">
        <v>19</v>
      </c>
      <c r="X85" s="140">
        <v>0.22800000000000001</v>
      </c>
      <c r="Y85" s="172">
        <f t="shared" si="20"/>
        <v>2.5333333333333333E-2</v>
      </c>
    </row>
    <row r="86" spans="1:25" x14ac:dyDescent="0.2">
      <c r="A86" s="1">
        <v>22</v>
      </c>
      <c r="B86" s="101">
        <v>157315</v>
      </c>
      <c r="C86" s="123">
        <f t="shared" si="18"/>
        <v>117986.25</v>
      </c>
      <c r="F86" s="1" t="s">
        <v>351</v>
      </c>
      <c r="G86" s="1" t="s">
        <v>352</v>
      </c>
      <c r="W86" s="101">
        <v>20</v>
      </c>
      <c r="X86" s="140">
        <v>0.24000000000000002</v>
      </c>
      <c r="Y86" s="172">
        <f t="shared" si="20"/>
        <v>2.6666666666666668E-2</v>
      </c>
    </row>
    <row r="87" spans="1:25" x14ac:dyDescent="0.2">
      <c r="A87" s="1">
        <v>23</v>
      </c>
      <c r="B87" s="101">
        <v>162622</v>
      </c>
      <c r="C87" s="123">
        <f t="shared" si="18"/>
        <v>121966.5</v>
      </c>
      <c r="F87" s="1" t="s">
        <v>354</v>
      </c>
      <c r="H87" s="1" t="s">
        <v>353</v>
      </c>
      <c r="J87" s="1" t="s">
        <v>210</v>
      </c>
      <c r="L87" s="1" t="s">
        <v>219</v>
      </c>
      <c r="N87" s="1" t="s">
        <v>258</v>
      </c>
      <c r="W87" s="101">
        <v>21</v>
      </c>
      <c r="X87" s="140">
        <v>0.252</v>
      </c>
      <c r="Y87" s="172">
        <f t="shared" si="20"/>
        <v>2.8000000000000001E-2</v>
      </c>
    </row>
    <row r="88" spans="1:25" x14ac:dyDescent="0.2">
      <c r="A88" s="1">
        <v>24</v>
      </c>
      <c r="B88" s="101">
        <v>176825</v>
      </c>
      <c r="C88" s="123">
        <f t="shared" si="18"/>
        <v>132618.75</v>
      </c>
      <c r="E88" s="1" t="s">
        <v>345</v>
      </c>
      <c r="F88" s="71">
        <v>0</v>
      </c>
      <c r="G88" s="71">
        <v>0.1</v>
      </c>
      <c r="H88" s="71">
        <v>0.1</v>
      </c>
      <c r="I88" s="71">
        <v>0.2</v>
      </c>
      <c r="J88" s="71">
        <v>0.2</v>
      </c>
      <c r="K88" s="71">
        <v>0.3</v>
      </c>
      <c r="L88" s="71">
        <v>0.3</v>
      </c>
      <c r="M88" s="71">
        <v>0.4</v>
      </c>
      <c r="N88" s="71">
        <v>0.4</v>
      </c>
      <c r="O88" s="71">
        <v>0.5</v>
      </c>
      <c r="W88" s="101">
        <v>22</v>
      </c>
      <c r="X88" s="140">
        <v>0.26400000000000001</v>
      </c>
      <c r="Y88" s="172">
        <f t="shared" si="20"/>
        <v>2.9333333333333336E-2</v>
      </c>
    </row>
    <row r="89" spans="1:25" x14ac:dyDescent="0.2">
      <c r="A89" s="1">
        <v>25</v>
      </c>
      <c r="B89" s="101">
        <v>210404</v>
      </c>
      <c r="C89" s="123">
        <f t="shared" si="18"/>
        <v>157803</v>
      </c>
      <c r="E89" s="1" t="s">
        <v>346</v>
      </c>
      <c r="F89" s="71">
        <v>0</v>
      </c>
      <c r="G89" s="71">
        <v>0.1</v>
      </c>
      <c r="H89" s="71">
        <v>0.1</v>
      </c>
      <c r="I89" s="71">
        <v>0.2</v>
      </c>
      <c r="J89" s="71">
        <v>0.2</v>
      </c>
      <c r="K89" s="71">
        <v>0.3</v>
      </c>
      <c r="L89" s="71">
        <v>0.3</v>
      </c>
      <c r="M89" s="71">
        <v>0.4</v>
      </c>
      <c r="N89" s="71">
        <v>0.4</v>
      </c>
      <c r="O89" s="71">
        <v>0.5</v>
      </c>
      <c r="W89" s="101">
        <v>23</v>
      </c>
      <c r="X89" s="140">
        <v>0.27600000000000002</v>
      </c>
      <c r="Y89" s="172">
        <f t="shared" si="20"/>
        <v>3.0666666666666668E-2</v>
      </c>
    </row>
    <row r="90" spans="1:25" x14ac:dyDescent="0.2">
      <c r="A90" s="1">
        <v>26</v>
      </c>
      <c r="B90" s="101">
        <v>217172</v>
      </c>
      <c r="C90" s="123">
        <f t="shared" si="18"/>
        <v>162879</v>
      </c>
      <c r="E90" s="1" t="s">
        <v>347</v>
      </c>
      <c r="F90" s="71">
        <v>0</v>
      </c>
      <c r="G90" s="71">
        <v>0.1</v>
      </c>
      <c r="H90" s="71">
        <v>0.1</v>
      </c>
      <c r="I90" s="71">
        <v>0.2</v>
      </c>
      <c r="J90" s="71">
        <v>0.2</v>
      </c>
      <c r="K90" s="71">
        <v>0.3</v>
      </c>
      <c r="L90" s="71">
        <v>0.3</v>
      </c>
      <c r="M90" s="71">
        <v>0.4</v>
      </c>
      <c r="N90" s="71">
        <v>0.4</v>
      </c>
      <c r="O90" s="71">
        <v>0.5</v>
      </c>
      <c r="W90" s="101">
        <v>24</v>
      </c>
      <c r="X90" s="140">
        <v>0.28800000000000003</v>
      </c>
      <c r="Y90" s="172">
        <f t="shared" si="20"/>
        <v>3.2000000000000001E-2</v>
      </c>
    </row>
    <row r="91" spans="1:25" x14ac:dyDescent="0.2">
      <c r="A91" s="1">
        <v>27</v>
      </c>
      <c r="B91" s="101">
        <v>223510</v>
      </c>
      <c r="C91" s="123">
        <f t="shared" si="18"/>
        <v>167632.5</v>
      </c>
      <c r="E91" s="1" t="s">
        <v>348</v>
      </c>
      <c r="F91" s="71"/>
      <c r="G91" s="71"/>
      <c r="W91" s="101">
        <v>25</v>
      </c>
      <c r="X91" s="140">
        <v>0.30000000000000004</v>
      </c>
      <c r="Y91" s="172">
        <f t="shared" si="20"/>
        <v>3.333333333333334E-2</v>
      </c>
    </row>
    <row r="92" spans="1:25" x14ac:dyDescent="0.2">
      <c r="A92" s="1">
        <v>28</v>
      </c>
      <c r="B92" s="101">
        <v>229896</v>
      </c>
      <c r="C92" s="123">
        <f t="shared" si="18"/>
        <v>172422</v>
      </c>
      <c r="E92" s="1" t="s">
        <v>349</v>
      </c>
      <c r="F92" s="71"/>
      <c r="G92" s="71"/>
    </row>
    <row r="93" spans="1:25" x14ac:dyDescent="0.2">
      <c r="A93" s="1">
        <v>29</v>
      </c>
      <c r="B93" s="101">
        <v>236331</v>
      </c>
      <c r="C93" s="123">
        <f t="shared" si="18"/>
        <v>177248.25</v>
      </c>
    </row>
    <row r="94" spans="1:25" x14ac:dyDescent="0.2">
      <c r="A94" s="1">
        <v>30</v>
      </c>
      <c r="B94" s="101">
        <v>275928</v>
      </c>
      <c r="C94" s="123">
        <f t="shared" si="18"/>
        <v>206946</v>
      </c>
    </row>
    <row r="95" spans="1:25" x14ac:dyDescent="0.2">
      <c r="A95" s="1">
        <v>31</v>
      </c>
      <c r="B95" s="101">
        <v>283321</v>
      </c>
      <c r="C95" s="123">
        <f t="shared" si="18"/>
        <v>212490.75</v>
      </c>
    </row>
    <row r="96" spans="1:25" x14ac:dyDescent="0.2">
      <c r="A96" s="1">
        <v>32</v>
      </c>
      <c r="B96" s="101">
        <v>290768</v>
      </c>
      <c r="C96" s="123">
        <f t="shared" si="18"/>
        <v>218076</v>
      </c>
    </row>
    <row r="97" spans="1:16" x14ac:dyDescent="0.2">
      <c r="A97" s="1">
        <v>33</v>
      </c>
      <c r="B97" s="101">
        <v>298268</v>
      </c>
      <c r="C97" s="123">
        <f t="shared" si="18"/>
        <v>223701</v>
      </c>
    </row>
    <row r="98" spans="1:16" x14ac:dyDescent="0.2">
      <c r="A98" s="1">
        <v>34</v>
      </c>
      <c r="B98" s="101">
        <v>336404</v>
      </c>
      <c r="C98" s="123">
        <f t="shared" si="18"/>
        <v>252303</v>
      </c>
    </row>
    <row r="99" spans="1:16" x14ac:dyDescent="0.2">
      <c r="A99" s="1">
        <v>35</v>
      </c>
      <c r="B99" s="101">
        <v>344772</v>
      </c>
      <c r="C99" s="123">
        <f t="shared" si="18"/>
        <v>258579</v>
      </c>
    </row>
    <row r="100" spans="1:16" x14ac:dyDescent="0.2">
      <c r="A100" s="1">
        <v>36</v>
      </c>
      <c r="B100" s="101">
        <v>353199</v>
      </c>
      <c r="C100" s="123">
        <f t="shared" si="18"/>
        <v>264899.25</v>
      </c>
    </row>
    <row r="101" spans="1:16" x14ac:dyDescent="0.2">
      <c r="A101" s="1">
        <v>37</v>
      </c>
      <c r="B101" s="101">
        <v>355089</v>
      </c>
      <c r="C101" s="123">
        <f t="shared" si="18"/>
        <v>266316.75</v>
      </c>
    </row>
    <row r="102" spans="1:16" x14ac:dyDescent="0.2">
      <c r="A102" s="1">
        <v>38</v>
      </c>
      <c r="B102" s="101">
        <v>396271</v>
      </c>
      <c r="C102" s="123">
        <f t="shared" si="18"/>
        <v>297203.25</v>
      </c>
    </row>
    <row r="103" spans="1:16" x14ac:dyDescent="0.2">
      <c r="A103" s="1">
        <v>39</v>
      </c>
      <c r="B103" s="101">
        <v>397751</v>
      </c>
      <c r="C103" s="123">
        <f t="shared" si="18"/>
        <v>298313.25</v>
      </c>
      <c r="G103" s="1" t="s">
        <v>368</v>
      </c>
      <c r="N103" s="1" t="s">
        <v>370</v>
      </c>
      <c r="O103" s="1" t="s">
        <v>366</v>
      </c>
      <c r="P103" s="183">
        <v>0.5</v>
      </c>
    </row>
    <row r="104" spans="1:16" x14ac:dyDescent="0.2">
      <c r="A104" s="1">
        <v>40</v>
      </c>
      <c r="B104" s="101">
        <v>406326</v>
      </c>
      <c r="C104" s="123">
        <f t="shared" si="18"/>
        <v>304744.5</v>
      </c>
      <c r="G104" s="1" t="s">
        <v>362</v>
      </c>
      <c r="H104" s="1" t="s">
        <v>363</v>
      </c>
      <c r="I104" s="1" t="s">
        <v>364</v>
      </c>
      <c r="L104" s="103" t="s">
        <v>359</v>
      </c>
      <c r="M104" s="22" t="s">
        <v>360</v>
      </c>
      <c r="N104" s="182">
        <v>0.5</v>
      </c>
      <c r="O104" s="177"/>
      <c r="P104" s="183"/>
    </row>
    <row r="105" spans="1:16" x14ac:dyDescent="0.2">
      <c r="A105" s="1">
        <v>41</v>
      </c>
      <c r="B105" s="101">
        <v>407193</v>
      </c>
      <c r="C105" s="123">
        <f t="shared" si="18"/>
        <v>305394.75</v>
      </c>
      <c r="F105" s="1" t="s">
        <v>369</v>
      </c>
      <c r="G105" s="1">
        <v>90</v>
      </c>
      <c r="H105" s="1">
        <v>110</v>
      </c>
      <c r="I105" s="1">
        <v>100</v>
      </c>
      <c r="L105" s="103"/>
      <c r="M105" s="23" t="s">
        <v>361</v>
      </c>
      <c r="N105" s="181">
        <v>0.4</v>
      </c>
      <c r="O105" s="179"/>
      <c r="P105" s="183">
        <v>0.4</v>
      </c>
    </row>
    <row r="106" spans="1:16" x14ac:dyDescent="0.2">
      <c r="A106" s="1">
        <v>42</v>
      </c>
      <c r="B106" s="101">
        <v>450028</v>
      </c>
      <c r="C106" s="123">
        <f t="shared" si="18"/>
        <v>337521</v>
      </c>
      <c r="F106" s="1" t="s">
        <v>366</v>
      </c>
      <c r="G106" s="1">
        <v>110</v>
      </c>
      <c r="H106" s="1">
        <v>90</v>
      </c>
      <c r="I106" s="1">
        <v>100</v>
      </c>
      <c r="L106" s="103" t="s">
        <v>358</v>
      </c>
      <c r="M106" s="22" t="s">
        <v>360</v>
      </c>
      <c r="N106" s="180">
        <v>0.4</v>
      </c>
      <c r="O106" s="178"/>
      <c r="P106" s="183"/>
    </row>
    <row r="107" spans="1:16" x14ac:dyDescent="0.2">
      <c r="A107" s="1">
        <v>43</v>
      </c>
      <c r="B107" s="101">
        <v>458966</v>
      </c>
      <c r="C107" s="123">
        <f t="shared" si="18"/>
        <v>344224.5</v>
      </c>
      <c r="F107" s="1" t="s">
        <v>365</v>
      </c>
      <c r="G107" s="1">
        <v>110</v>
      </c>
      <c r="H107" s="1">
        <v>90</v>
      </c>
      <c r="I107" s="1">
        <v>100</v>
      </c>
      <c r="L107" s="103"/>
      <c r="M107" s="23" t="s">
        <v>361</v>
      </c>
      <c r="N107" s="181">
        <v>0.3</v>
      </c>
      <c r="O107" s="179"/>
      <c r="P107" s="183">
        <v>0.3</v>
      </c>
    </row>
    <row r="108" spans="1:16" x14ac:dyDescent="0.2">
      <c r="A108" s="1">
        <v>44</v>
      </c>
      <c r="B108" s="101">
        <v>459089</v>
      </c>
      <c r="C108" s="123">
        <f t="shared" si="18"/>
        <v>344316.75</v>
      </c>
      <c r="F108" s="1" t="s">
        <v>367</v>
      </c>
      <c r="G108" s="1">
        <v>100</v>
      </c>
      <c r="H108" s="1">
        <v>100</v>
      </c>
      <c r="I108" s="1">
        <v>100</v>
      </c>
      <c r="L108" s="103" t="s">
        <v>357</v>
      </c>
      <c r="M108" s="22" t="s">
        <v>360</v>
      </c>
      <c r="N108" s="180">
        <v>0.3</v>
      </c>
      <c r="O108" s="178"/>
      <c r="P108" s="183"/>
    </row>
    <row r="109" spans="1:16" x14ac:dyDescent="0.2">
      <c r="A109" s="1">
        <v>45</v>
      </c>
      <c r="B109" s="101">
        <v>467600</v>
      </c>
      <c r="C109" s="123">
        <f t="shared" si="18"/>
        <v>350700</v>
      </c>
      <c r="F109" s="1" t="s">
        <v>349</v>
      </c>
      <c r="G109" s="1">
        <v>100</v>
      </c>
      <c r="H109" s="1">
        <v>90</v>
      </c>
      <c r="I109" s="1">
        <v>110</v>
      </c>
      <c r="L109" s="103"/>
      <c r="M109" s="23" t="s">
        <v>361</v>
      </c>
      <c r="N109" s="181">
        <v>0.2</v>
      </c>
      <c r="O109" s="179"/>
      <c r="P109" s="183">
        <v>0.2</v>
      </c>
    </row>
    <row r="110" spans="1:16" x14ac:dyDescent="0.2">
      <c r="A110" s="1">
        <v>46</v>
      </c>
      <c r="B110" s="101">
        <v>512760</v>
      </c>
      <c r="C110" s="123">
        <f t="shared" si="18"/>
        <v>384570</v>
      </c>
      <c r="L110" s="103" t="s">
        <v>356</v>
      </c>
      <c r="M110" s="22" t="s">
        <v>360</v>
      </c>
      <c r="N110" s="180">
        <v>0.2</v>
      </c>
      <c r="O110" s="180">
        <v>0.1</v>
      </c>
      <c r="P110" s="183"/>
    </row>
    <row r="111" spans="1:16" x14ac:dyDescent="0.2">
      <c r="A111" s="1">
        <v>47</v>
      </c>
      <c r="B111" s="101">
        <v>511957</v>
      </c>
      <c r="C111" s="123">
        <f t="shared" si="18"/>
        <v>383967.75</v>
      </c>
      <c r="L111" s="103"/>
      <c r="M111" s="23" t="s">
        <v>361</v>
      </c>
      <c r="N111" s="181">
        <v>0.1</v>
      </c>
      <c r="O111" s="181">
        <v>0.2</v>
      </c>
      <c r="P111" s="184">
        <v>0.1</v>
      </c>
    </row>
    <row r="112" spans="1:16" x14ac:dyDescent="0.2">
      <c r="A112" s="1">
        <v>48</v>
      </c>
      <c r="B112" s="101">
        <v>520644</v>
      </c>
      <c r="C112" s="123">
        <f t="shared" si="18"/>
        <v>390483</v>
      </c>
      <c r="L112" s="103" t="s">
        <v>355</v>
      </c>
      <c r="M112" s="22" t="s">
        <v>360</v>
      </c>
      <c r="N112" s="180">
        <v>0.1</v>
      </c>
      <c r="O112" s="180">
        <v>0</v>
      </c>
      <c r="P112" s="183"/>
    </row>
    <row r="113" spans="1:20" x14ac:dyDescent="0.2">
      <c r="A113" s="1">
        <v>49</v>
      </c>
      <c r="B113" s="101">
        <v>529343</v>
      </c>
      <c r="C113" s="123">
        <f t="shared" si="18"/>
        <v>397007.25</v>
      </c>
      <c r="L113" s="103"/>
      <c r="M113" s="23" t="s">
        <v>361</v>
      </c>
      <c r="N113" s="181">
        <v>0</v>
      </c>
      <c r="O113" s="181">
        <v>0.1</v>
      </c>
      <c r="P113" s="183">
        <v>0</v>
      </c>
    </row>
    <row r="114" spans="1:20" x14ac:dyDescent="0.2">
      <c r="A114" s="1">
        <v>50</v>
      </c>
      <c r="B114" s="101">
        <v>565232</v>
      </c>
      <c r="C114" s="123">
        <f t="shared" si="18"/>
        <v>423924</v>
      </c>
      <c r="L114" s="103"/>
      <c r="Q114" s="1" t="s">
        <v>375</v>
      </c>
    </row>
    <row r="115" spans="1:20" x14ac:dyDescent="0.2">
      <c r="L115" s="103"/>
      <c r="M115" s="103" t="s">
        <v>369</v>
      </c>
      <c r="N115" s="103" t="s">
        <v>365</v>
      </c>
      <c r="O115" s="103" t="s">
        <v>376</v>
      </c>
      <c r="P115" s="103" t="s">
        <v>377</v>
      </c>
      <c r="R115" s="1" t="s">
        <v>369</v>
      </c>
      <c r="S115" s="1" t="s">
        <v>365</v>
      </c>
      <c r="T115" s="1" t="s">
        <v>366</v>
      </c>
    </row>
    <row r="116" spans="1:20" x14ac:dyDescent="0.2">
      <c r="L116" s="103" t="s">
        <v>360</v>
      </c>
      <c r="M116" s="71">
        <v>0.1</v>
      </c>
      <c r="N116" s="71">
        <v>0</v>
      </c>
      <c r="O116" s="71">
        <v>0</v>
      </c>
      <c r="P116" s="71"/>
      <c r="Q116" s="1" t="s">
        <v>373</v>
      </c>
      <c r="R116" s="71">
        <f>$P$111+M116</f>
        <v>0.2</v>
      </c>
      <c r="S116" s="71">
        <f>$P$111+N116</f>
        <v>0.1</v>
      </c>
      <c r="T116" s="71">
        <f>$P$111+O116</f>
        <v>0.1</v>
      </c>
    </row>
    <row r="117" spans="1:20" x14ac:dyDescent="0.2">
      <c r="L117" s="103" t="s">
        <v>371</v>
      </c>
      <c r="M117" s="71">
        <v>0.09</v>
      </c>
      <c r="N117" s="71">
        <v>0.01</v>
      </c>
      <c r="O117" s="71">
        <v>9.0000000000000011E-2</v>
      </c>
      <c r="P117" s="71"/>
      <c r="Q117" s="1" t="s">
        <v>371</v>
      </c>
      <c r="R117" s="71">
        <f t="shared" ref="R117:R118" si="24">$P$111+M117</f>
        <v>0.19</v>
      </c>
      <c r="S117" s="71">
        <f t="shared" ref="S117:T118" si="25">$P$111+N117</f>
        <v>0.11</v>
      </c>
      <c r="T117" s="71">
        <f t="shared" si="25"/>
        <v>0.19</v>
      </c>
    </row>
    <row r="118" spans="1:20" x14ac:dyDescent="0.2">
      <c r="L118" s="103" t="s">
        <v>372</v>
      </c>
      <c r="M118" s="71">
        <v>0.08</v>
      </c>
      <c r="N118" s="71">
        <v>0.02</v>
      </c>
      <c r="O118" s="71">
        <v>0.08</v>
      </c>
      <c r="P118" s="71"/>
      <c r="Q118" s="1" t="s">
        <v>374</v>
      </c>
      <c r="R118" s="71">
        <f t="shared" si="24"/>
        <v>0.18</v>
      </c>
      <c r="S118" s="71">
        <f t="shared" si="25"/>
        <v>0.12000000000000001</v>
      </c>
      <c r="T118" s="71">
        <f t="shared" si="25"/>
        <v>0.18</v>
      </c>
    </row>
    <row r="119" spans="1:20" x14ac:dyDescent="0.2">
      <c r="E119" s="1">
        <v>10</v>
      </c>
      <c r="F119" s="1">
        <v>5</v>
      </c>
      <c r="H119" s="1">
        <f>SUM(E119:G119)</f>
        <v>15</v>
      </c>
      <c r="M119" s="71">
        <v>7.0000000000000007E-2</v>
      </c>
      <c r="N119" s="71">
        <v>0.03</v>
      </c>
      <c r="O119" s="71">
        <v>7.0000000000000007E-2</v>
      </c>
      <c r="P119" s="71"/>
    </row>
    <row r="120" spans="1:20" x14ac:dyDescent="0.2">
      <c r="E120" s="1">
        <v>9</v>
      </c>
      <c r="F120" s="1">
        <v>6</v>
      </c>
      <c r="H120" s="1">
        <f t="shared" ref="H120:H124" si="26">SUM(E120:G120)</f>
        <v>15</v>
      </c>
      <c r="M120" s="71">
        <v>0.06</v>
      </c>
      <c r="N120" s="71">
        <v>0.04</v>
      </c>
      <c r="O120" s="71">
        <v>6.0000000000000005E-2</v>
      </c>
      <c r="P120" s="71"/>
    </row>
    <row r="121" spans="1:20" x14ac:dyDescent="0.2">
      <c r="E121" s="1">
        <v>8</v>
      </c>
      <c r="F121" s="1">
        <v>7</v>
      </c>
      <c r="H121" s="1">
        <f t="shared" si="26"/>
        <v>15</v>
      </c>
      <c r="M121" s="71">
        <v>0.05</v>
      </c>
      <c r="N121" s="71">
        <v>0.05</v>
      </c>
      <c r="O121" s="71">
        <v>0.05</v>
      </c>
      <c r="P121" s="71"/>
    </row>
    <row r="122" spans="1:20" x14ac:dyDescent="0.2">
      <c r="E122" s="1">
        <v>7</v>
      </c>
      <c r="F122" s="1">
        <v>8</v>
      </c>
      <c r="H122" s="1">
        <f t="shared" si="26"/>
        <v>15</v>
      </c>
      <c r="M122" s="71">
        <v>0.04</v>
      </c>
      <c r="N122" s="71">
        <v>0.06</v>
      </c>
      <c r="O122" s="71">
        <v>4.0000000000000008E-2</v>
      </c>
      <c r="P122" s="71"/>
    </row>
    <row r="123" spans="1:20" x14ac:dyDescent="0.2">
      <c r="E123" s="1">
        <v>6</v>
      </c>
      <c r="F123" s="1">
        <v>9</v>
      </c>
      <c r="H123" s="1">
        <f t="shared" si="26"/>
        <v>15</v>
      </c>
      <c r="M123" s="71">
        <v>0.03</v>
      </c>
      <c r="N123" s="71">
        <v>7.0000000000000007E-2</v>
      </c>
      <c r="O123" s="71">
        <v>0.03</v>
      </c>
      <c r="P123" s="71"/>
    </row>
    <row r="124" spans="1:20" x14ac:dyDescent="0.2">
      <c r="E124" s="1">
        <v>5</v>
      </c>
      <c r="F124" s="1">
        <v>10</v>
      </c>
      <c r="H124" s="1">
        <f t="shared" si="26"/>
        <v>15</v>
      </c>
      <c r="M124" s="71">
        <v>0.02</v>
      </c>
      <c r="N124" s="71">
        <v>0.08</v>
      </c>
      <c r="O124" s="71">
        <v>2.0000000000000004E-2</v>
      </c>
      <c r="P124" s="71"/>
    </row>
    <row r="125" spans="1:20" x14ac:dyDescent="0.2">
      <c r="M125" s="71">
        <v>0.01</v>
      </c>
      <c r="N125" s="71">
        <v>0.09</v>
      </c>
      <c r="O125" s="71">
        <v>0.09</v>
      </c>
      <c r="P125" s="71"/>
    </row>
    <row r="126" spans="1:20" x14ac:dyDescent="0.2">
      <c r="M126" s="71">
        <v>0</v>
      </c>
      <c r="N126" s="71">
        <v>0.1</v>
      </c>
      <c r="O126" s="71">
        <v>0.1</v>
      </c>
      <c r="P126" s="7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141"/>
  <sheetViews>
    <sheetView topLeftCell="A80" zoomScaleNormal="100" workbookViewId="0">
      <selection activeCell="U123" sqref="U123"/>
    </sheetView>
  </sheetViews>
  <sheetFormatPr defaultRowHeight="11.25" x14ac:dyDescent="0.2"/>
  <cols>
    <col min="1" max="1" width="7" style="101" bestFit="1" customWidth="1"/>
    <col min="2" max="2" width="10.25" style="101" bestFit="1" customWidth="1"/>
    <col min="3" max="3" width="7" style="101" bestFit="1" customWidth="1"/>
    <col min="4" max="52" width="6" style="101" bestFit="1" customWidth="1"/>
    <col min="53" max="16384" width="9" style="101"/>
  </cols>
  <sheetData>
    <row r="1" spans="1:52" ht="17.25" x14ac:dyDescent="0.3">
      <c r="B1" s="130" t="s">
        <v>221</v>
      </c>
      <c r="H1" s="135" t="s">
        <v>222</v>
      </c>
      <c r="I1" s="135"/>
      <c r="J1" s="135"/>
      <c r="K1" s="135"/>
    </row>
    <row r="2" spans="1:52" x14ac:dyDescent="0.2">
      <c r="A2" s="1"/>
      <c r="B2" s="1" t="s">
        <v>207</v>
      </c>
      <c r="C2" s="1">
        <v>100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52" x14ac:dyDescent="0.2">
      <c r="A3" s="1"/>
      <c r="B3" s="107" t="s">
        <v>209</v>
      </c>
      <c r="C3" s="108" t="s">
        <v>206</v>
      </c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9"/>
    </row>
    <row r="4" spans="1:52" x14ac:dyDescent="0.2">
      <c r="A4" s="1"/>
      <c r="B4" s="142" t="s">
        <v>237</v>
      </c>
      <c r="C4" s="111">
        <v>1</v>
      </c>
      <c r="D4" s="111">
        <v>2</v>
      </c>
      <c r="E4" s="111">
        <v>3</v>
      </c>
      <c r="F4" s="111">
        <v>4</v>
      </c>
      <c r="G4" s="111">
        <v>5</v>
      </c>
      <c r="H4" s="111">
        <v>6</v>
      </c>
      <c r="I4" s="111">
        <v>7</v>
      </c>
      <c r="J4" s="111">
        <v>8</v>
      </c>
      <c r="K4" s="111">
        <v>9</v>
      </c>
      <c r="L4" s="111">
        <v>10</v>
      </c>
      <c r="M4" s="111">
        <v>11</v>
      </c>
      <c r="N4" s="111">
        <v>12</v>
      </c>
      <c r="O4" s="111">
        <v>13</v>
      </c>
      <c r="P4" s="111">
        <v>14</v>
      </c>
      <c r="Q4" s="111">
        <v>15</v>
      </c>
      <c r="R4" s="111">
        <v>16</v>
      </c>
      <c r="S4" s="111">
        <v>17</v>
      </c>
      <c r="T4" s="111">
        <v>18</v>
      </c>
      <c r="U4" s="111">
        <v>19</v>
      </c>
      <c r="V4" s="111">
        <v>20</v>
      </c>
      <c r="W4" s="111">
        <v>21</v>
      </c>
      <c r="X4" s="111">
        <v>22</v>
      </c>
      <c r="Y4" s="111">
        <v>23</v>
      </c>
      <c r="Z4" s="111">
        <v>24</v>
      </c>
      <c r="AA4" s="111">
        <v>25</v>
      </c>
      <c r="AB4" s="111">
        <v>26</v>
      </c>
      <c r="AC4" s="111">
        <v>27</v>
      </c>
      <c r="AD4" s="111">
        <v>28</v>
      </c>
      <c r="AE4" s="111">
        <v>29</v>
      </c>
      <c r="AF4" s="111">
        <v>30</v>
      </c>
      <c r="AG4" s="111">
        <v>31</v>
      </c>
      <c r="AH4" s="111">
        <v>32</v>
      </c>
      <c r="AI4" s="111">
        <v>33</v>
      </c>
      <c r="AJ4" s="111">
        <v>34</v>
      </c>
      <c r="AK4" s="111">
        <v>35</v>
      </c>
      <c r="AL4" s="111">
        <v>36</v>
      </c>
      <c r="AM4" s="111">
        <v>37</v>
      </c>
      <c r="AN4" s="111">
        <v>38</v>
      </c>
      <c r="AO4" s="111">
        <v>39</v>
      </c>
      <c r="AP4" s="111">
        <v>40</v>
      </c>
      <c r="AQ4" s="111">
        <v>41</v>
      </c>
      <c r="AR4" s="111">
        <v>42</v>
      </c>
      <c r="AS4" s="111">
        <v>43</v>
      </c>
      <c r="AT4" s="111">
        <v>44</v>
      </c>
      <c r="AU4" s="111">
        <v>45</v>
      </c>
      <c r="AV4" s="111">
        <v>46</v>
      </c>
      <c r="AW4" s="111">
        <v>47</v>
      </c>
      <c r="AX4" s="111">
        <v>48</v>
      </c>
      <c r="AY4" s="111">
        <v>49</v>
      </c>
      <c r="AZ4" s="111">
        <v>50</v>
      </c>
    </row>
    <row r="5" spans="1:52" x14ac:dyDescent="0.2">
      <c r="A5" s="1" t="s">
        <v>192</v>
      </c>
      <c r="B5" s="110" t="s">
        <v>216</v>
      </c>
      <c r="C5" s="112">
        <v>0</v>
      </c>
      <c r="D5" s="112">
        <v>0.01</v>
      </c>
      <c r="E5" s="112">
        <v>0.02</v>
      </c>
      <c r="F5" s="112">
        <v>0.03</v>
      </c>
      <c r="G5" s="112">
        <v>0.04</v>
      </c>
      <c r="H5" s="112">
        <v>0.05</v>
      </c>
      <c r="I5" s="112">
        <v>0.06</v>
      </c>
      <c r="J5" s="112">
        <v>7.0000000000000007E-2</v>
      </c>
      <c r="K5" s="112">
        <v>0.08</v>
      </c>
      <c r="L5" s="112">
        <v>0.09</v>
      </c>
      <c r="M5" s="112">
        <v>0.1</v>
      </c>
      <c r="N5" s="112">
        <v>0.11</v>
      </c>
      <c r="O5" s="112">
        <v>0.12</v>
      </c>
      <c r="P5" s="112">
        <v>0.13</v>
      </c>
      <c r="Q5" s="112">
        <v>0.14000000000000001</v>
      </c>
      <c r="R5" s="112">
        <v>0.15</v>
      </c>
      <c r="S5" s="112">
        <v>0.16</v>
      </c>
      <c r="T5" s="112">
        <v>0.17</v>
      </c>
      <c r="U5" s="112">
        <v>0.18</v>
      </c>
      <c r="V5" s="112">
        <v>0.19</v>
      </c>
      <c r="W5" s="112">
        <v>0.2</v>
      </c>
      <c r="X5" s="112">
        <v>0.21</v>
      </c>
      <c r="Y5" s="112">
        <v>0.22</v>
      </c>
      <c r="Z5" s="112">
        <v>0.23</v>
      </c>
      <c r="AA5" s="112">
        <v>0.24</v>
      </c>
      <c r="AB5" s="112">
        <v>0.25</v>
      </c>
      <c r="AC5" s="112">
        <v>0.26</v>
      </c>
      <c r="AD5" s="112">
        <v>0.27</v>
      </c>
      <c r="AE5" s="112">
        <v>0.28000000000000003</v>
      </c>
      <c r="AF5" s="112">
        <v>0.28999999999999998</v>
      </c>
      <c r="AG5" s="112">
        <v>0.3</v>
      </c>
      <c r="AH5" s="112">
        <v>0.31</v>
      </c>
      <c r="AI5" s="112">
        <v>0.32</v>
      </c>
      <c r="AJ5" s="112">
        <v>0.33</v>
      </c>
      <c r="AK5" s="112">
        <v>0.34</v>
      </c>
      <c r="AL5" s="112">
        <v>0.35</v>
      </c>
      <c r="AM5" s="112">
        <v>0.36</v>
      </c>
      <c r="AN5" s="112">
        <v>0.37</v>
      </c>
      <c r="AO5" s="112">
        <v>0.38</v>
      </c>
      <c r="AP5" s="112">
        <v>0.39</v>
      </c>
      <c r="AQ5" s="112">
        <v>0.4</v>
      </c>
      <c r="AR5" s="112">
        <v>0.41</v>
      </c>
      <c r="AS5" s="112">
        <v>0.42</v>
      </c>
      <c r="AT5" s="112">
        <v>0.43</v>
      </c>
      <c r="AU5" s="112">
        <v>0.44</v>
      </c>
      <c r="AV5" s="112">
        <v>0.45</v>
      </c>
      <c r="AW5" s="112">
        <v>0.46</v>
      </c>
      <c r="AX5" s="112">
        <v>0.47</v>
      </c>
      <c r="AY5" s="112">
        <v>0.48</v>
      </c>
      <c r="AZ5" s="112">
        <v>0.49</v>
      </c>
    </row>
    <row r="6" spans="1:52" x14ac:dyDescent="0.2">
      <c r="A6" s="1">
        <v>1</v>
      </c>
      <c r="B6" s="113">
        <v>5</v>
      </c>
      <c r="C6" s="111">
        <f t="shared" ref="C6:L15" si="0">unit_dps*(base_stat1+C$5)*$B6</f>
        <v>800</v>
      </c>
      <c r="D6" s="111">
        <f t="shared" si="0"/>
        <v>805</v>
      </c>
      <c r="E6" s="111">
        <f t="shared" si="0"/>
        <v>810</v>
      </c>
      <c r="F6" s="111">
        <f t="shared" si="0"/>
        <v>815</v>
      </c>
      <c r="G6" s="111">
        <f t="shared" si="0"/>
        <v>820</v>
      </c>
      <c r="H6" s="111">
        <f t="shared" si="0"/>
        <v>825</v>
      </c>
      <c r="I6" s="111">
        <f t="shared" si="0"/>
        <v>830</v>
      </c>
      <c r="J6" s="111">
        <f t="shared" si="0"/>
        <v>835.00000000000011</v>
      </c>
      <c r="K6" s="111">
        <f t="shared" si="0"/>
        <v>840.00000000000011</v>
      </c>
      <c r="L6" s="111">
        <f t="shared" si="0"/>
        <v>845.00000000000011</v>
      </c>
      <c r="M6" s="111">
        <f t="shared" ref="M6:V15" si="1">unit_dps*(base_stat1+M$5)*$B6</f>
        <v>850.00000000000011</v>
      </c>
      <c r="N6" s="111">
        <f t="shared" si="1"/>
        <v>855.00000000000011</v>
      </c>
      <c r="O6" s="111">
        <f t="shared" si="1"/>
        <v>860.00000000000011</v>
      </c>
      <c r="P6" s="111">
        <f t="shared" si="1"/>
        <v>865</v>
      </c>
      <c r="Q6" s="111">
        <f t="shared" si="1"/>
        <v>870.00000000000011</v>
      </c>
      <c r="R6" s="111">
        <f t="shared" si="1"/>
        <v>875</v>
      </c>
      <c r="S6" s="111">
        <f t="shared" si="1"/>
        <v>880</v>
      </c>
      <c r="T6" s="111">
        <f t="shared" si="1"/>
        <v>885</v>
      </c>
      <c r="U6" s="111">
        <f t="shared" si="1"/>
        <v>890</v>
      </c>
      <c r="V6" s="111">
        <f t="shared" si="1"/>
        <v>895</v>
      </c>
      <c r="W6" s="114">
        <f t="shared" ref="W6:AF15" si="2">unit_dps*(base_stat1+W$5)*$B6</f>
        <v>900</v>
      </c>
      <c r="X6" s="111">
        <f t="shared" si="2"/>
        <v>905</v>
      </c>
      <c r="Y6" s="111">
        <f t="shared" si="2"/>
        <v>910</v>
      </c>
      <c r="Z6" s="111">
        <f t="shared" si="2"/>
        <v>915</v>
      </c>
      <c r="AA6" s="111">
        <f t="shared" si="2"/>
        <v>920</v>
      </c>
      <c r="AB6" s="111">
        <f t="shared" si="2"/>
        <v>925</v>
      </c>
      <c r="AC6" s="111">
        <f t="shared" si="2"/>
        <v>930</v>
      </c>
      <c r="AD6" s="111">
        <f t="shared" si="2"/>
        <v>935</v>
      </c>
      <c r="AE6" s="111">
        <f t="shared" si="2"/>
        <v>940</v>
      </c>
      <c r="AF6" s="111">
        <f t="shared" si="2"/>
        <v>945</v>
      </c>
      <c r="AG6" s="111">
        <f t="shared" ref="AG6:AP15" si="3">unit_dps*(base_stat1+AG$5)*$B6</f>
        <v>950</v>
      </c>
      <c r="AH6" s="111">
        <f t="shared" si="3"/>
        <v>955</v>
      </c>
      <c r="AI6" s="111">
        <f t="shared" si="3"/>
        <v>960.00000000000011</v>
      </c>
      <c r="AJ6" s="111">
        <f t="shared" si="3"/>
        <v>965.00000000000011</v>
      </c>
      <c r="AK6" s="111">
        <f t="shared" si="3"/>
        <v>970.00000000000011</v>
      </c>
      <c r="AL6" s="111">
        <f t="shared" si="3"/>
        <v>975.00000000000011</v>
      </c>
      <c r="AM6" s="111">
        <f t="shared" si="3"/>
        <v>980</v>
      </c>
      <c r="AN6" s="111">
        <f t="shared" si="3"/>
        <v>985.00000000000011</v>
      </c>
      <c r="AO6" s="111">
        <f t="shared" si="3"/>
        <v>990</v>
      </c>
      <c r="AP6" s="111">
        <f t="shared" si="3"/>
        <v>995.00000000000011</v>
      </c>
      <c r="AQ6" s="111">
        <f t="shared" ref="AQ6:AZ15" si="4">unit_dps*(base_stat1+AQ$5)*$B6</f>
        <v>1000</v>
      </c>
      <c r="AR6" s="111">
        <f t="shared" si="4"/>
        <v>1005.0000000000001</v>
      </c>
      <c r="AS6" s="111">
        <f t="shared" si="4"/>
        <v>1010</v>
      </c>
      <c r="AT6" s="111">
        <f t="shared" si="4"/>
        <v>1015.0000000000001</v>
      </c>
      <c r="AU6" s="111">
        <f t="shared" si="4"/>
        <v>1020</v>
      </c>
      <c r="AV6" s="111">
        <f t="shared" si="4"/>
        <v>1025.0000000000002</v>
      </c>
      <c r="AW6" s="111">
        <f t="shared" si="4"/>
        <v>1030</v>
      </c>
      <c r="AX6" s="111">
        <f t="shared" si="4"/>
        <v>1035.0000000000002</v>
      </c>
      <c r="AY6" s="111">
        <f t="shared" si="4"/>
        <v>1040</v>
      </c>
      <c r="AZ6" s="111">
        <f t="shared" si="4"/>
        <v>1045</v>
      </c>
    </row>
    <row r="7" spans="1:52" x14ac:dyDescent="0.2">
      <c r="A7" s="1">
        <v>2</v>
      </c>
      <c r="B7" s="113">
        <v>6</v>
      </c>
      <c r="C7" s="132">
        <f t="shared" si="0"/>
        <v>960</v>
      </c>
      <c r="D7" s="132">
        <f t="shared" si="0"/>
        <v>966</v>
      </c>
      <c r="E7" s="111">
        <f t="shared" si="0"/>
        <v>972</v>
      </c>
      <c r="F7" s="111">
        <f t="shared" si="0"/>
        <v>978</v>
      </c>
      <c r="G7" s="111">
        <f t="shared" si="0"/>
        <v>984</v>
      </c>
      <c r="H7" s="111">
        <f t="shared" si="0"/>
        <v>990</v>
      </c>
      <c r="I7" s="111">
        <f t="shared" si="0"/>
        <v>996</v>
      </c>
      <c r="J7" s="111">
        <f t="shared" si="0"/>
        <v>1002.0000000000002</v>
      </c>
      <c r="K7" s="111">
        <f t="shared" si="0"/>
        <v>1008.0000000000002</v>
      </c>
      <c r="L7" s="111">
        <f t="shared" si="0"/>
        <v>1014.0000000000002</v>
      </c>
      <c r="M7" s="111">
        <f t="shared" si="1"/>
        <v>1020.0000000000002</v>
      </c>
      <c r="N7" s="111">
        <f t="shared" si="1"/>
        <v>1026.0000000000002</v>
      </c>
      <c r="O7" s="111">
        <f t="shared" si="1"/>
        <v>1032.0000000000002</v>
      </c>
      <c r="P7" s="111">
        <f t="shared" si="1"/>
        <v>1038</v>
      </c>
      <c r="Q7" s="111">
        <f t="shared" si="1"/>
        <v>1044.0000000000002</v>
      </c>
      <c r="R7" s="111">
        <f t="shared" si="1"/>
        <v>1050</v>
      </c>
      <c r="S7" s="111">
        <f t="shared" si="1"/>
        <v>1056</v>
      </c>
      <c r="T7" s="111">
        <f t="shared" si="1"/>
        <v>1062</v>
      </c>
      <c r="U7" s="111">
        <f t="shared" si="1"/>
        <v>1068</v>
      </c>
      <c r="V7" s="111">
        <f t="shared" si="1"/>
        <v>1074</v>
      </c>
      <c r="W7" s="111">
        <f t="shared" si="2"/>
        <v>1080</v>
      </c>
      <c r="X7" s="111">
        <f t="shared" si="2"/>
        <v>1086</v>
      </c>
      <c r="Y7" s="111">
        <f t="shared" si="2"/>
        <v>1092</v>
      </c>
      <c r="Z7" s="111">
        <f t="shared" si="2"/>
        <v>1098</v>
      </c>
      <c r="AA7" s="111">
        <f t="shared" si="2"/>
        <v>1104</v>
      </c>
      <c r="AB7" s="111">
        <f t="shared" si="2"/>
        <v>1110</v>
      </c>
      <c r="AC7" s="111">
        <f t="shared" si="2"/>
        <v>1116</v>
      </c>
      <c r="AD7" s="111">
        <f t="shared" si="2"/>
        <v>1122</v>
      </c>
      <c r="AE7" s="111">
        <f t="shared" si="2"/>
        <v>1128</v>
      </c>
      <c r="AF7" s="111">
        <f t="shared" si="2"/>
        <v>1134</v>
      </c>
      <c r="AG7" s="111">
        <f t="shared" si="3"/>
        <v>1140</v>
      </c>
      <c r="AH7" s="111">
        <f t="shared" si="3"/>
        <v>1146</v>
      </c>
      <c r="AI7" s="111">
        <f t="shared" si="3"/>
        <v>1152.0000000000002</v>
      </c>
      <c r="AJ7" s="111">
        <f t="shared" si="3"/>
        <v>1158.0000000000002</v>
      </c>
      <c r="AK7" s="111">
        <f t="shared" si="3"/>
        <v>1164.0000000000002</v>
      </c>
      <c r="AL7" s="111">
        <f t="shared" si="3"/>
        <v>1170.0000000000002</v>
      </c>
      <c r="AM7" s="111">
        <f t="shared" si="3"/>
        <v>1176</v>
      </c>
      <c r="AN7" s="111">
        <f t="shared" si="3"/>
        <v>1182.0000000000002</v>
      </c>
      <c r="AO7" s="111">
        <f t="shared" si="3"/>
        <v>1188</v>
      </c>
      <c r="AP7" s="111">
        <f t="shared" si="3"/>
        <v>1194.0000000000002</v>
      </c>
      <c r="AQ7" s="111">
        <f t="shared" si="4"/>
        <v>1200</v>
      </c>
      <c r="AR7" s="111">
        <f t="shared" si="4"/>
        <v>1206.0000000000002</v>
      </c>
      <c r="AS7" s="111">
        <f t="shared" si="4"/>
        <v>1212</v>
      </c>
      <c r="AT7" s="111">
        <f t="shared" si="4"/>
        <v>1218.0000000000002</v>
      </c>
      <c r="AU7" s="111">
        <f t="shared" si="4"/>
        <v>1224</v>
      </c>
      <c r="AV7" s="111">
        <f t="shared" si="4"/>
        <v>1230.0000000000002</v>
      </c>
      <c r="AW7" s="111">
        <f t="shared" si="4"/>
        <v>1236</v>
      </c>
      <c r="AX7" s="111">
        <f t="shared" si="4"/>
        <v>1242.0000000000002</v>
      </c>
      <c r="AY7" s="111">
        <f t="shared" si="4"/>
        <v>1248</v>
      </c>
      <c r="AZ7" s="111">
        <f t="shared" si="4"/>
        <v>1254</v>
      </c>
    </row>
    <row r="8" spans="1:52" x14ac:dyDescent="0.2">
      <c r="A8" s="1">
        <v>3</v>
      </c>
      <c r="B8" s="113">
        <v>7</v>
      </c>
      <c r="C8" s="132">
        <f t="shared" si="0"/>
        <v>1120</v>
      </c>
      <c r="D8" s="132">
        <f t="shared" si="0"/>
        <v>1127</v>
      </c>
      <c r="E8" s="132">
        <f t="shared" si="0"/>
        <v>1134</v>
      </c>
      <c r="F8" s="111">
        <f t="shared" si="0"/>
        <v>1141</v>
      </c>
      <c r="G8" s="111">
        <f t="shared" si="0"/>
        <v>1148</v>
      </c>
      <c r="H8" s="111">
        <f t="shared" si="0"/>
        <v>1155</v>
      </c>
      <c r="I8" s="111">
        <f t="shared" si="0"/>
        <v>1162</v>
      </c>
      <c r="J8" s="111">
        <f t="shared" si="0"/>
        <v>1169.0000000000002</v>
      </c>
      <c r="K8" s="111">
        <f t="shared" si="0"/>
        <v>1176.0000000000002</v>
      </c>
      <c r="L8" s="111">
        <f t="shared" si="0"/>
        <v>1183.0000000000002</v>
      </c>
      <c r="M8" s="111">
        <f t="shared" si="1"/>
        <v>1190.0000000000002</v>
      </c>
      <c r="N8" s="111">
        <f t="shared" si="1"/>
        <v>1197.0000000000002</v>
      </c>
      <c r="O8" s="111">
        <f t="shared" si="1"/>
        <v>1204.0000000000002</v>
      </c>
      <c r="P8" s="111">
        <f t="shared" si="1"/>
        <v>1211</v>
      </c>
      <c r="Q8" s="111">
        <f t="shared" si="1"/>
        <v>1218.0000000000002</v>
      </c>
      <c r="R8" s="111">
        <f t="shared" si="1"/>
        <v>1225</v>
      </c>
      <c r="S8" s="111">
        <f t="shared" si="1"/>
        <v>1232</v>
      </c>
      <c r="T8" s="111">
        <f t="shared" si="1"/>
        <v>1239</v>
      </c>
      <c r="U8" s="111">
        <f t="shared" si="1"/>
        <v>1246</v>
      </c>
      <c r="V8" s="111">
        <f t="shared" si="1"/>
        <v>1253</v>
      </c>
      <c r="W8" s="111">
        <f t="shared" si="2"/>
        <v>1260</v>
      </c>
      <c r="X8" s="111">
        <f t="shared" si="2"/>
        <v>1267</v>
      </c>
      <c r="Y8" s="111">
        <f t="shared" si="2"/>
        <v>1274</v>
      </c>
      <c r="Z8" s="111">
        <f t="shared" si="2"/>
        <v>1281</v>
      </c>
      <c r="AA8" s="111">
        <f t="shared" si="2"/>
        <v>1288</v>
      </c>
      <c r="AB8" s="111">
        <f t="shared" si="2"/>
        <v>1295</v>
      </c>
      <c r="AC8" s="111">
        <f t="shared" si="2"/>
        <v>1302</v>
      </c>
      <c r="AD8" s="111">
        <f t="shared" si="2"/>
        <v>1309</v>
      </c>
      <c r="AE8" s="111">
        <f t="shared" si="2"/>
        <v>1316</v>
      </c>
      <c r="AF8" s="111">
        <f t="shared" si="2"/>
        <v>1323</v>
      </c>
      <c r="AG8" s="111">
        <f t="shared" si="3"/>
        <v>1330</v>
      </c>
      <c r="AH8" s="111">
        <f t="shared" si="3"/>
        <v>1337</v>
      </c>
      <c r="AI8" s="111">
        <f t="shared" si="3"/>
        <v>1344.0000000000002</v>
      </c>
      <c r="AJ8" s="111">
        <f t="shared" si="3"/>
        <v>1351.0000000000002</v>
      </c>
      <c r="AK8" s="111">
        <f t="shared" si="3"/>
        <v>1358.0000000000002</v>
      </c>
      <c r="AL8" s="111">
        <f t="shared" si="3"/>
        <v>1365.0000000000002</v>
      </c>
      <c r="AM8" s="111">
        <f t="shared" si="3"/>
        <v>1372</v>
      </c>
      <c r="AN8" s="111">
        <f t="shared" si="3"/>
        <v>1379.0000000000002</v>
      </c>
      <c r="AO8" s="111">
        <f t="shared" si="3"/>
        <v>1386</v>
      </c>
      <c r="AP8" s="111">
        <f t="shared" si="3"/>
        <v>1393.0000000000002</v>
      </c>
      <c r="AQ8" s="111">
        <f t="shared" si="4"/>
        <v>1400</v>
      </c>
      <c r="AR8" s="111">
        <f t="shared" si="4"/>
        <v>1407.0000000000002</v>
      </c>
      <c r="AS8" s="111">
        <f t="shared" si="4"/>
        <v>1414</v>
      </c>
      <c r="AT8" s="111">
        <f t="shared" si="4"/>
        <v>1421.0000000000002</v>
      </c>
      <c r="AU8" s="111">
        <f t="shared" si="4"/>
        <v>1428</v>
      </c>
      <c r="AV8" s="111">
        <f t="shared" si="4"/>
        <v>1435.0000000000002</v>
      </c>
      <c r="AW8" s="111">
        <f t="shared" si="4"/>
        <v>1442</v>
      </c>
      <c r="AX8" s="111">
        <f t="shared" si="4"/>
        <v>1449.0000000000002</v>
      </c>
      <c r="AY8" s="111">
        <f t="shared" si="4"/>
        <v>1456</v>
      </c>
      <c r="AZ8" s="111">
        <f t="shared" si="4"/>
        <v>1463</v>
      </c>
    </row>
    <row r="9" spans="1:52" x14ac:dyDescent="0.2">
      <c r="A9" s="1">
        <v>4</v>
      </c>
      <c r="B9" s="113">
        <v>8</v>
      </c>
      <c r="C9" s="132">
        <f t="shared" si="0"/>
        <v>1280</v>
      </c>
      <c r="D9" s="132">
        <f t="shared" si="0"/>
        <v>1288</v>
      </c>
      <c r="E9" s="132">
        <f t="shared" si="0"/>
        <v>1296</v>
      </c>
      <c r="F9" s="132">
        <f t="shared" si="0"/>
        <v>1304</v>
      </c>
      <c r="G9" s="132">
        <f t="shared" si="0"/>
        <v>1312</v>
      </c>
      <c r="H9" s="111">
        <f t="shared" si="0"/>
        <v>1320</v>
      </c>
      <c r="I9" s="111">
        <f t="shared" si="0"/>
        <v>1328</v>
      </c>
      <c r="J9" s="111">
        <f t="shared" si="0"/>
        <v>1336.0000000000002</v>
      </c>
      <c r="K9" s="111">
        <f t="shared" si="0"/>
        <v>1344.0000000000002</v>
      </c>
      <c r="L9" s="111">
        <f t="shared" si="0"/>
        <v>1352.0000000000002</v>
      </c>
      <c r="M9" s="111">
        <f t="shared" si="1"/>
        <v>1360.0000000000002</v>
      </c>
      <c r="N9" s="111">
        <f t="shared" si="1"/>
        <v>1368.0000000000002</v>
      </c>
      <c r="O9" s="111">
        <f t="shared" si="1"/>
        <v>1376.0000000000002</v>
      </c>
      <c r="P9" s="111">
        <f t="shared" si="1"/>
        <v>1384</v>
      </c>
      <c r="Q9" s="111">
        <f t="shared" si="1"/>
        <v>1392.0000000000002</v>
      </c>
      <c r="R9" s="111">
        <f t="shared" si="1"/>
        <v>1400</v>
      </c>
      <c r="S9" s="111">
        <f t="shared" si="1"/>
        <v>1408</v>
      </c>
      <c r="T9" s="111">
        <f t="shared" si="1"/>
        <v>1416</v>
      </c>
      <c r="U9" s="111">
        <f t="shared" si="1"/>
        <v>1424</v>
      </c>
      <c r="V9" s="111">
        <f t="shared" si="1"/>
        <v>1432</v>
      </c>
      <c r="W9" s="111">
        <f t="shared" si="2"/>
        <v>1440</v>
      </c>
      <c r="X9" s="111">
        <f t="shared" si="2"/>
        <v>1448</v>
      </c>
      <c r="Y9" s="111">
        <f t="shared" si="2"/>
        <v>1456</v>
      </c>
      <c r="Z9" s="111">
        <f t="shared" si="2"/>
        <v>1464</v>
      </c>
      <c r="AA9" s="111">
        <f t="shared" si="2"/>
        <v>1472</v>
      </c>
      <c r="AB9" s="111">
        <f t="shared" si="2"/>
        <v>1480</v>
      </c>
      <c r="AC9" s="111">
        <f t="shared" si="2"/>
        <v>1488</v>
      </c>
      <c r="AD9" s="111">
        <f t="shared" si="2"/>
        <v>1496</v>
      </c>
      <c r="AE9" s="111">
        <f t="shared" si="2"/>
        <v>1504</v>
      </c>
      <c r="AF9" s="111">
        <f t="shared" si="2"/>
        <v>1512</v>
      </c>
      <c r="AG9" s="111">
        <f t="shared" si="3"/>
        <v>1520</v>
      </c>
      <c r="AH9" s="111">
        <f t="shared" si="3"/>
        <v>1528</v>
      </c>
      <c r="AI9" s="111">
        <f t="shared" si="3"/>
        <v>1536.0000000000002</v>
      </c>
      <c r="AJ9" s="111">
        <f t="shared" si="3"/>
        <v>1544.0000000000002</v>
      </c>
      <c r="AK9" s="111">
        <f t="shared" si="3"/>
        <v>1552.0000000000002</v>
      </c>
      <c r="AL9" s="111">
        <f t="shared" si="3"/>
        <v>1560.0000000000002</v>
      </c>
      <c r="AM9" s="111">
        <f t="shared" si="3"/>
        <v>1568</v>
      </c>
      <c r="AN9" s="111">
        <f t="shared" si="3"/>
        <v>1576.0000000000002</v>
      </c>
      <c r="AO9" s="111">
        <f t="shared" si="3"/>
        <v>1584</v>
      </c>
      <c r="AP9" s="111">
        <f t="shared" si="3"/>
        <v>1592.0000000000002</v>
      </c>
      <c r="AQ9" s="111">
        <f t="shared" si="4"/>
        <v>1600</v>
      </c>
      <c r="AR9" s="111">
        <f t="shared" si="4"/>
        <v>1608.0000000000002</v>
      </c>
      <c r="AS9" s="111">
        <f t="shared" si="4"/>
        <v>1616</v>
      </c>
      <c r="AT9" s="111">
        <f t="shared" si="4"/>
        <v>1624.0000000000002</v>
      </c>
      <c r="AU9" s="111">
        <f t="shared" si="4"/>
        <v>1632</v>
      </c>
      <c r="AV9" s="111">
        <f t="shared" si="4"/>
        <v>1640.0000000000002</v>
      </c>
      <c r="AW9" s="111">
        <f t="shared" si="4"/>
        <v>1648</v>
      </c>
      <c r="AX9" s="111">
        <f t="shared" si="4"/>
        <v>1656.0000000000002</v>
      </c>
      <c r="AY9" s="111">
        <f t="shared" si="4"/>
        <v>1664</v>
      </c>
      <c r="AZ9" s="111">
        <f t="shared" si="4"/>
        <v>1672</v>
      </c>
    </row>
    <row r="10" spans="1:52" x14ac:dyDescent="0.2">
      <c r="A10" s="1">
        <v>5</v>
      </c>
      <c r="B10" s="113">
        <v>9</v>
      </c>
      <c r="C10" s="132">
        <f t="shared" si="0"/>
        <v>1440</v>
      </c>
      <c r="D10" s="132">
        <f t="shared" si="0"/>
        <v>1449</v>
      </c>
      <c r="E10" s="132">
        <f t="shared" si="0"/>
        <v>1458</v>
      </c>
      <c r="F10" s="132">
        <f t="shared" si="0"/>
        <v>1467</v>
      </c>
      <c r="G10" s="132">
        <f t="shared" si="0"/>
        <v>1476</v>
      </c>
      <c r="H10" s="132">
        <f t="shared" si="0"/>
        <v>1485</v>
      </c>
      <c r="I10" s="111">
        <f t="shared" si="0"/>
        <v>1494</v>
      </c>
      <c r="J10" s="111">
        <f t="shared" si="0"/>
        <v>1503.0000000000002</v>
      </c>
      <c r="K10" s="111">
        <f t="shared" si="0"/>
        <v>1512.0000000000002</v>
      </c>
      <c r="L10" s="111">
        <f t="shared" si="0"/>
        <v>1521.0000000000002</v>
      </c>
      <c r="M10" s="111">
        <f t="shared" si="1"/>
        <v>1530.0000000000002</v>
      </c>
      <c r="N10" s="111">
        <f t="shared" si="1"/>
        <v>1539.0000000000002</v>
      </c>
      <c r="O10" s="111">
        <f t="shared" si="1"/>
        <v>1548.0000000000002</v>
      </c>
      <c r="P10" s="111">
        <f t="shared" si="1"/>
        <v>1557</v>
      </c>
      <c r="Q10" s="111">
        <f t="shared" si="1"/>
        <v>1566.0000000000002</v>
      </c>
      <c r="R10" s="111">
        <f t="shared" si="1"/>
        <v>1575</v>
      </c>
      <c r="S10" s="111">
        <f t="shared" si="1"/>
        <v>1584</v>
      </c>
      <c r="T10" s="111">
        <f t="shared" si="1"/>
        <v>1593</v>
      </c>
      <c r="U10" s="111">
        <f t="shared" si="1"/>
        <v>1602</v>
      </c>
      <c r="V10" s="111">
        <f t="shared" si="1"/>
        <v>1611</v>
      </c>
      <c r="W10" s="111">
        <f t="shared" si="2"/>
        <v>1620</v>
      </c>
      <c r="X10" s="111">
        <f t="shared" si="2"/>
        <v>1629</v>
      </c>
      <c r="Y10" s="111">
        <f t="shared" si="2"/>
        <v>1638</v>
      </c>
      <c r="Z10" s="111">
        <f t="shared" si="2"/>
        <v>1647</v>
      </c>
      <c r="AA10" s="111">
        <f t="shared" si="2"/>
        <v>1656</v>
      </c>
      <c r="AB10" s="111">
        <f t="shared" si="2"/>
        <v>1665</v>
      </c>
      <c r="AC10" s="111">
        <f t="shared" si="2"/>
        <v>1674</v>
      </c>
      <c r="AD10" s="111">
        <f t="shared" si="2"/>
        <v>1683</v>
      </c>
      <c r="AE10" s="111">
        <f t="shared" si="2"/>
        <v>1692</v>
      </c>
      <c r="AF10" s="111">
        <f t="shared" si="2"/>
        <v>1701</v>
      </c>
      <c r="AG10" s="111">
        <f t="shared" si="3"/>
        <v>1710</v>
      </c>
      <c r="AH10" s="111">
        <f t="shared" si="3"/>
        <v>1719</v>
      </c>
      <c r="AI10" s="111">
        <f t="shared" si="3"/>
        <v>1728.0000000000002</v>
      </c>
      <c r="AJ10" s="111">
        <f t="shared" si="3"/>
        <v>1737.0000000000002</v>
      </c>
      <c r="AK10" s="111">
        <f t="shared" si="3"/>
        <v>1746.0000000000002</v>
      </c>
      <c r="AL10" s="111">
        <f t="shared" si="3"/>
        <v>1755.0000000000002</v>
      </c>
      <c r="AM10" s="111">
        <f t="shared" si="3"/>
        <v>1764</v>
      </c>
      <c r="AN10" s="111">
        <f t="shared" si="3"/>
        <v>1773.0000000000002</v>
      </c>
      <c r="AO10" s="111">
        <f t="shared" si="3"/>
        <v>1782</v>
      </c>
      <c r="AP10" s="111">
        <f t="shared" si="3"/>
        <v>1791.0000000000002</v>
      </c>
      <c r="AQ10" s="111">
        <f t="shared" si="4"/>
        <v>1800</v>
      </c>
      <c r="AR10" s="111">
        <f t="shared" si="4"/>
        <v>1809.0000000000002</v>
      </c>
      <c r="AS10" s="111">
        <f t="shared" si="4"/>
        <v>1818</v>
      </c>
      <c r="AT10" s="111">
        <f t="shared" si="4"/>
        <v>1827.0000000000002</v>
      </c>
      <c r="AU10" s="111">
        <f t="shared" si="4"/>
        <v>1836</v>
      </c>
      <c r="AV10" s="111">
        <f t="shared" si="4"/>
        <v>1845.0000000000002</v>
      </c>
      <c r="AW10" s="111">
        <f t="shared" si="4"/>
        <v>1854</v>
      </c>
      <c r="AX10" s="111">
        <f t="shared" si="4"/>
        <v>1863.0000000000002</v>
      </c>
      <c r="AY10" s="111">
        <f t="shared" si="4"/>
        <v>1872</v>
      </c>
      <c r="AZ10" s="111">
        <f t="shared" si="4"/>
        <v>1881</v>
      </c>
    </row>
    <row r="11" spans="1:52" x14ac:dyDescent="0.2">
      <c r="A11" s="1">
        <v>6</v>
      </c>
      <c r="B11" s="113">
        <v>10</v>
      </c>
      <c r="C11" s="132">
        <f t="shared" si="0"/>
        <v>1600</v>
      </c>
      <c r="D11" s="132">
        <f t="shared" si="0"/>
        <v>1610</v>
      </c>
      <c r="E11" s="132">
        <f t="shared" si="0"/>
        <v>1620</v>
      </c>
      <c r="F11" s="132">
        <f t="shared" si="0"/>
        <v>1630</v>
      </c>
      <c r="G11" s="132">
        <f t="shared" si="0"/>
        <v>1640</v>
      </c>
      <c r="H11" s="132">
        <f t="shared" si="0"/>
        <v>1650</v>
      </c>
      <c r="I11" s="132">
        <f t="shared" si="0"/>
        <v>1660</v>
      </c>
      <c r="J11" s="132">
        <f t="shared" si="0"/>
        <v>1670.0000000000002</v>
      </c>
      <c r="K11" s="111">
        <f t="shared" si="0"/>
        <v>1680.0000000000002</v>
      </c>
      <c r="L11" s="111">
        <f t="shared" si="0"/>
        <v>1690.0000000000002</v>
      </c>
      <c r="M11" s="111">
        <f t="shared" si="1"/>
        <v>1700.0000000000002</v>
      </c>
      <c r="N11" s="111">
        <f t="shared" si="1"/>
        <v>1710.0000000000002</v>
      </c>
      <c r="O11" s="111">
        <f t="shared" si="1"/>
        <v>1720.0000000000002</v>
      </c>
      <c r="P11" s="111">
        <f t="shared" si="1"/>
        <v>1730</v>
      </c>
      <c r="Q11" s="111">
        <f t="shared" si="1"/>
        <v>1740.0000000000002</v>
      </c>
      <c r="R11" s="111">
        <f t="shared" si="1"/>
        <v>1750</v>
      </c>
      <c r="S11" s="111">
        <f t="shared" si="1"/>
        <v>1760</v>
      </c>
      <c r="T11" s="111">
        <f t="shared" si="1"/>
        <v>1770</v>
      </c>
      <c r="U11" s="111">
        <f t="shared" si="1"/>
        <v>1780</v>
      </c>
      <c r="V11" s="111">
        <f t="shared" si="1"/>
        <v>1790</v>
      </c>
      <c r="W11" s="111">
        <f t="shared" si="2"/>
        <v>1800</v>
      </c>
      <c r="X11" s="111">
        <f t="shared" si="2"/>
        <v>1810</v>
      </c>
      <c r="Y11" s="111">
        <f t="shared" si="2"/>
        <v>1820</v>
      </c>
      <c r="Z11" s="111">
        <f t="shared" si="2"/>
        <v>1830</v>
      </c>
      <c r="AA11" s="111">
        <f t="shared" si="2"/>
        <v>1840</v>
      </c>
      <c r="AB11" s="111">
        <f t="shared" si="2"/>
        <v>1850</v>
      </c>
      <c r="AC11" s="111">
        <f t="shared" si="2"/>
        <v>1860</v>
      </c>
      <c r="AD11" s="111">
        <f t="shared" si="2"/>
        <v>1870</v>
      </c>
      <c r="AE11" s="111">
        <f t="shared" si="2"/>
        <v>1880</v>
      </c>
      <c r="AF11" s="111">
        <f t="shared" si="2"/>
        <v>1890</v>
      </c>
      <c r="AG11" s="111">
        <f t="shared" si="3"/>
        <v>1900</v>
      </c>
      <c r="AH11" s="111">
        <f t="shared" si="3"/>
        <v>1910</v>
      </c>
      <c r="AI11" s="111">
        <f t="shared" si="3"/>
        <v>1920.0000000000002</v>
      </c>
      <c r="AJ11" s="111">
        <f t="shared" si="3"/>
        <v>1930.0000000000002</v>
      </c>
      <c r="AK11" s="111">
        <f t="shared" si="3"/>
        <v>1940.0000000000002</v>
      </c>
      <c r="AL11" s="111">
        <f t="shared" si="3"/>
        <v>1950.0000000000002</v>
      </c>
      <c r="AM11" s="111">
        <f t="shared" si="3"/>
        <v>1960</v>
      </c>
      <c r="AN11" s="111">
        <f t="shared" si="3"/>
        <v>1970.0000000000002</v>
      </c>
      <c r="AO11" s="111">
        <f t="shared" si="3"/>
        <v>1980</v>
      </c>
      <c r="AP11" s="111">
        <f t="shared" si="3"/>
        <v>1990.0000000000002</v>
      </c>
      <c r="AQ11" s="111">
        <f t="shared" si="4"/>
        <v>2000</v>
      </c>
      <c r="AR11" s="111">
        <f t="shared" si="4"/>
        <v>2010.0000000000002</v>
      </c>
      <c r="AS11" s="111">
        <f t="shared" si="4"/>
        <v>2020</v>
      </c>
      <c r="AT11" s="111">
        <f t="shared" si="4"/>
        <v>2030.0000000000002</v>
      </c>
      <c r="AU11" s="111">
        <f t="shared" si="4"/>
        <v>2040</v>
      </c>
      <c r="AV11" s="111">
        <f t="shared" si="4"/>
        <v>2050.0000000000005</v>
      </c>
      <c r="AW11" s="111">
        <f t="shared" si="4"/>
        <v>2060</v>
      </c>
      <c r="AX11" s="111">
        <f t="shared" si="4"/>
        <v>2070.0000000000005</v>
      </c>
      <c r="AY11" s="111">
        <f t="shared" si="4"/>
        <v>2080</v>
      </c>
      <c r="AZ11" s="111">
        <f t="shared" si="4"/>
        <v>2090</v>
      </c>
    </row>
    <row r="12" spans="1:52" x14ac:dyDescent="0.2">
      <c r="A12" s="1">
        <v>7</v>
      </c>
      <c r="B12" s="113">
        <v>11</v>
      </c>
      <c r="C12" s="132">
        <f t="shared" si="0"/>
        <v>1760</v>
      </c>
      <c r="D12" s="132">
        <f t="shared" si="0"/>
        <v>1771</v>
      </c>
      <c r="E12" s="132">
        <f t="shared" si="0"/>
        <v>1782</v>
      </c>
      <c r="F12" s="132">
        <f t="shared" si="0"/>
        <v>1793</v>
      </c>
      <c r="G12" s="132">
        <f t="shared" si="0"/>
        <v>1804</v>
      </c>
      <c r="H12" s="132">
        <f t="shared" si="0"/>
        <v>1815</v>
      </c>
      <c r="I12" s="132">
        <f t="shared" si="0"/>
        <v>1826</v>
      </c>
      <c r="J12" s="132">
        <f t="shared" si="0"/>
        <v>1837.0000000000002</v>
      </c>
      <c r="K12" s="132">
        <f t="shared" si="0"/>
        <v>1848.0000000000002</v>
      </c>
      <c r="L12" s="114">
        <f t="shared" si="0"/>
        <v>1859.0000000000002</v>
      </c>
      <c r="M12" s="111">
        <f t="shared" si="1"/>
        <v>1870.0000000000002</v>
      </c>
      <c r="N12" s="111">
        <f t="shared" si="1"/>
        <v>1881.0000000000002</v>
      </c>
      <c r="O12" s="111">
        <f t="shared" si="1"/>
        <v>1892.0000000000002</v>
      </c>
      <c r="P12" s="111">
        <f t="shared" si="1"/>
        <v>1903</v>
      </c>
      <c r="Q12" s="111">
        <f t="shared" si="1"/>
        <v>1914.0000000000002</v>
      </c>
      <c r="R12" s="111">
        <f t="shared" si="1"/>
        <v>1925</v>
      </c>
      <c r="S12" s="111">
        <f t="shared" si="1"/>
        <v>1936</v>
      </c>
      <c r="T12" s="111">
        <f t="shared" si="1"/>
        <v>1947</v>
      </c>
      <c r="U12" s="111">
        <f t="shared" si="1"/>
        <v>1958</v>
      </c>
      <c r="V12" s="111">
        <f t="shared" si="1"/>
        <v>1969</v>
      </c>
      <c r="W12" s="111">
        <f t="shared" si="2"/>
        <v>1980</v>
      </c>
      <c r="X12" s="111">
        <f t="shared" si="2"/>
        <v>1991</v>
      </c>
      <c r="Y12" s="111">
        <f t="shared" si="2"/>
        <v>2002</v>
      </c>
      <c r="Z12" s="111">
        <f t="shared" si="2"/>
        <v>2013</v>
      </c>
      <c r="AA12" s="111">
        <f t="shared" si="2"/>
        <v>2024</v>
      </c>
      <c r="AB12" s="111">
        <f t="shared" si="2"/>
        <v>2035</v>
      </c>
      <c r="AC12" s="111">
        <f t="shared" si="2"/>
        <v>2046</v>
      </c>
      <c r="AD12" s="111">
        <f t="shared" si="2"/>
        <v>2057</v>
      </c>
      <c r="AE12" s="111">
        <f t="shared" si="2"/>
        <v>2068</v>
      </c>
      <c r="AF12" s="111">
        <f t="shared" si="2"/>
        <v>2079</v>
      </c>
      <c r="AG12" s="111">
        <f t="shared" si="3"/>
        <v>2090</v>
      </c>
      <c r="AH12" s="111">
        <f t="shared" si="3"/>
        <v>2101</v>
      </c>
      <c r="AI12" s="111">
        <f t="shared" si="3"/>
        <v>2112.0000000000005</v>
      </c>
      <c r="AJ12" s="111">
        <f t="shared" si="3"/>
        <v>2123.0000000000005</v>
      </c>
      <c r="AK12" s="111">
        <f t="shared" si="3"/>
        <v>2134.0000000000005</v>
      </c>
      <c r="AL12" s="111">
        <f t="shared" si="3"/>
        <v>2145.0000000000005</v>
      </c>
      <c r="AM12" s="111">
        <f t="shared" si="3"/>
        <v>2156</v>
      </c>
      <c r="AN12" s="111">
        <f t="shared" si="3"/>
        <v>2167.0000000000005</v>
      </c>
      <c r="AO12" s="111">
        <f t="shared" si="3"/>
        <v>2178</v>
      </c>
      <c r="AP12" s="111">
        <f t="shared" si="3"/>
        <v>2189.0000000000005</v>
      </c>
      <c r="AQ12" s="111">
        <f t="shared" si="4"/>
        <v>2200</v>
      </c>
      <c r="AR12" s="111">
        <f t="shared" si="4"/>
        <v>2211.0000000000005</v>
      </c>
      <c r="AS12" s="111">
        <f t="shared" si="4"/>
        <v>2222</v>
      </c>
      <c r="AT12" s="111">
        <f t="shared" si="4"/>
        <v>2233.0000000000005</v>
      </c>
      <c r="AU12" s="111">
        <f t="shared" si="4"/>
        <v>2244</v>
      </c>
      <c r="AV12" s="111">
        <f t="shared" si="4"/>
        <v>2255.0000000000005</v>
      </c>
      <c r="AW12" s="111">
        <f t="shared" si="4"/>
        <v>2266</v>
      </c>
      <c r="AX12" s="111">
        <f t="shared" si="4"/>
        <v>2277.0000000000005</v>
      </c>
      <c r="AY12" s="111">
        <f t="shared" si="4"/>
        <v>2288</v>
      </c>
      <c r="AZ12" s="111">
        <f t="shared" si="4"/>
        <v>2299</v>
      </c>
    </row>
    <row r="13" spans="1:52" x14ac:dyDescent="0.2">
      <c r="A13" s="1">
        <v>8</v>
      </c>
      <c r="B13" s="113">
        <v>12</v>
      </c>
      <c r="C13" s="132">
        <f t="shared" si="0"/>
        <v>1920</v>
      </c>
      <c r="D13" s="132">
        <f t="shared" si="0"/>
        <v>1932</v>
      </c>
      <c r="E13" s="132">
        <f t="shared" si="0"/>
        <v>1944</v>
      </c>
      <c r="F13" s="132">
        <f t="shared" si="0"/>
        <v>1956</v>
      </c>
      <c r="G13" s="132">
        <f t="shared" si="0"/>
        <v>1968</v>
      </c>
      <c r="H13" s="132">
        <f t="shared" si="0"/>
        <v>1980</v>
      </c>
      <c r="I13" s="132">
        <f t="shared" si="0"/>
        <v>1992</v>
      </c>
      <c r="J13" s="132">
        <f t="shared" si="0"/>
        <v>2004.0000000000005</v>
      </c>
      <c r="K13" s="132">
        <f t="shared" si="0"/>
        <v>2016.0000000000005</v>
      </c>
      <c r="L13" s="132">
        <f t="shared" si="0"/>
        <v>2028.0000000000005</v>
      </c>
      <c r="M13" s="132">
        <f t="shared" si="1"/>
        <v>2040.0000000000005</v>
      </c>
      <c r="N13" s="111">
        <f t="shared" si="1"/>
        <v>2052.0000000000005</v>
      </c>
      <c r="O13" s="111">
        <f t="shared" si="1"/>
        <v>2064.0000000000005</v>
      </c>
      <c r="P13" s="111">
        <f t="shared" si="1"/>
        <v>2076</v>
      </c>
      <c r="Q13" s="111">
        <f t="shared" si="1"/>
        <v>2088.0000000000005</v>
      </c>
      <c r="R13" s="111">
        <f t="shared" si="1"/>
        <v>2100</v>
      </c>
      <c r="S13" s="111">
        <f t="shared" si="1"/>
        <v>2112</v>
      </c>
      <c r="T13" s="111">
        <f t="shared" si="1"/>
        <v>2124</v>
      </c>
      <c r="U13" s="111">
        <f t="shared" si="1"/>
        <v>2136</v>
      </c>
      <c r="V13" s="111">
        <f t="shared" si="1"/>
        <v>2148</v>
      </c>
      <c r="W13" s="111">
        <f t="shared" si="2"/>
        <v>2160</v>
      </c>
      <c r="X13" s="111">
        <f t="shared" si="2"/>
        <v>2172</v>
      </c>
      <c r="Y13" s="111">
        <f t="shared" si="2"/>
        <v>2184</v>
      </c>
      <c r="Z13" s="111">
        <f t="shared" si="2"/>
        <v>2196</v>
      </c>
      <c r="AA13" s="111">
        <f t="shared" si="2"/>
        <v>2208</v>
      </c>
      <c r="AB13" s="111">
        <f t="shared" si="2"/>
        <v>2220</v>
      </c>
      <c r="AC13" s="111">
        <f t="shared" si="2"/>
        <v>2232</v>
      </c>
      <c r="AD13" s="111">
        <f t="shared" si="2"/>
        <v>2244</v>
      </c>
      <c r="AE13" s="111">
        <f t="shared" si="2"/>
        <v>2256</v>
      </c>
      <c r="AF13" s="111">
        <f t="shared" si="2"/>
        <v>2268</v>
      </c>
      <c r="AG13" s="111">
        <f t="shared" si="3"/>
        <v>2280</v>
      </c>
      <c r="AH13" s="111">
        <f t="shared" si="3"/>
        <v>2292</v>
      </c>
      <c r="AI13" s="111">
        <f t="shared" si="3"/>
        <v>2304.0000000000005</v>
      </c>
      <c r="AJ13" s="111">
        <f t="shared" si="3"/>
        <v>2316.0000000000005</v>
      </c>
      <c r="AK13" s="111">
        <f t="shared" si="3"/>
        <v>2328.0000000000005</v>
      </c>
      <c r="AL13" s="111">
        <f t="shared" si="3"/>
        <v>2340.0000000000005</v>
      </c>
      <c r="AM13" s="111">
        <f t="shared" si="3"/>
        <v>2352</v>
      </c>
      <c r="AN13" s="111">
        <f t="shared" si="3"/>
        <v>2364.0000000000005</v>
      </c>
      <c r="AO13" s="111">
        <f t="shared" si="3"/>
        <v>2376</v>
      </c>
      <c r="AP13" s="111">
        <f t="shared" si="3"/>
        <v>2388.0000000000005</v>
      </c>
      <c r="AQ13" s="111">
        <f t="shared" si="4"/>
        <v>2400</v>
      </c>
      <c r="AR13" s="111">
        <f t="shared" si="4"/>
        <v>2412.0000000000005</v>
      </c>
      <c r="AS13" s="111">
        <f t="shared" si="4"/>
        <v>2424</v>
      </c>
      <c r="AT13" s="111">
        <f t="shared" si="4"/>
        <v>2436.0000000000005</v>
      </c>
      <c r="AU13" s="111">
        <f t="shared" si="4"/>
        <v>2448</v>
      </c>
      <c r="AV13" s="111">
        <f t="shared" si="4"/>
        <v>2460.0000000000005</v>
      </c>
      <c r="AW13" s="111">
        <f t="shared" si="4"/>
        <v>2472</v>
      </c>
      <c r="AX13" s="111">
        <f t="shared" si="4"/>
        <v>2484.0000000000005</v>
      </c>
      <c r="AY13" s="111">
        <f t="shared" si="4"/>
        <v>2496</v>
      </c>
      <c r="AZ13" s="111">
        <f t="shared" si="4"/>
        <v>2508</v>
      </c>
    </row>
    <row r="14" spans="1:52" x14ac:dyDescent="0.2">
      <c r="A14" s="1">
        <v>9</v>
      </c>
      <c r="B14" s="113">
        <v>13</v>
      </c>
      <c r="C14" s="132">
        <f t="shared" si="0"/>
        <v>2080</v>
      </c>
      <c r="D14" s="132">
        <f t="shared" si="0"/>
        <v>2093</v>
      </c>
      <c r="E14" s="132">
        <f t="shared" si="0"/>
        <v>2106</v>
      </c>
      <c r="F14" s="132">
        <f t="shared" si="0"/>
        <v>2119</v>
      </c>
      <c r="G14" s="132">
        <f t="shared" si="0"/>
        <v>2132</v>
      </c>
      <c r="H14" s="132">
        <f t="shared" si="0"/>
        <v>2145</v>
      </c>
      <c r="I14" s="132">
        <f t="shared" si="0"/>
        <v>2158</v>
      </c>
      <c r="J14" s="132">
        <f t="shared" si="0"/>
        <v>2171.0000000000005</v>
      </c>
      <c r="K14" s="132">
        <f t="shared" si="0"/>
        <v>2184.0000000000005</v>
      </c>
      <c r="L14" s="132">
        <f t="shared" si="0"/>
        <v>2197.0000000000005</v>
      </c>
      <c r="M14" s="132">
        <f t="shared" si="1"/>
        <v>2210.0000000000005</v>
      </c>
      <c r="N14" s="132">
        <f t="shared" si="1"/>
        <v>2223.0000000000005</v>
      </c>
      <c r="O14" s="111">
        <f t="shared" si="1"/>
        <v>2236.0000000000005</v>
      </c>
      <c r="P14" s="111">
        <f t="shared" si="1"/>
        <v>2249</v>
      </c>
      <c r="Q14" s="111">
        <f t="shared" si="1"/>
        <v>2262.0000000000005</v>
      </c>
      <c r="R14" s="111">
        <f t="shared" si="1"/>
        <v>2275</v>
      </c>
      <c r="S14" s="111">
        <f t="shared" si="1"/>
        <v>2288</v>
      </c>
      <c r="T14" s="111">
        <f t="shared" si="1"/>
        <v>2301</v>
      </c>
      <c r="U14" s="111">
        <f t="shared" si="1"/>
        <v>2314</v>
      </c>
      <c r="V14" s="111">
        <f t="shared" si="1"/>
        <v>2327</v>
      </c>
      <c r="W14" s="111">
        <f t="shared" si="2"/>
        <v>2340</v>
      </c>
      <c r="X14" s="111">
        <f t="shared" si="2"/>
        <v>2353</v>
      </c>
      <c r="Y14" s="111">
        <f t="shared" si="2"/>
        <v>2366</v>
      </c>
      <c r="Z14" s="111">
        <f t="shared" si="2"/>
        <v>2379</v>
      </c>
      <c r="AA14" s="111">
        <f t="shared" si="2"/>
        <v>2392</v>
      </c>
      <c r="AB14" s="111">
        <f t="shared" si="2"/>
        <v>2405</v>
      </c>
      <c r="AC14" s="111">
        <f t="shared" si="2"/>
        <v>2418</v>
      </c>
      <c r="AD14" s="111">
        <f t="shared" si="2"/>
        <v>2431</v>
      </c>
      <c r="AE14" s="111">
        <f t="shared" si="2"/>
        <v>2444</v>
      </c>
      <c r="AF14" s="111">
        <f t="shared" si="2"/>
        <v>2457</v>
      </c>
      <c r="AG14" s="111">
        <f t="shared" si="3"/>
        <v>2470</v>
      </c>
      <c r="AH14" s="111">
        <f t="shared" si="3"/>
        <v>2483</v>
      </c>
      <c r="AI14" s="111">
        <f t="shared" si="3"/>
        <v>2496.0000000000005</v>
      </c>
      <c r="AJ14" s="111">
        <f t="shared" si="3"/>
        <v>2509.0000000000005</v>
      </c>
      <c r="AK14" s="111">
        <f t="shared" si="3"/>
        <v>2522.0000000000005</v>
      </c>
      <c r="AL14" s="111">
        <f t="shared" si="3"/>
        <v>2535.0000000000005</v>
      </c>
      <c r="AM14" s="111">
        <f t="shared" si="3"/>
        <v>2548</v>
      </c>
      <c r="AN14" s="111">
        <f t="shared" si="3"/>
        <v>2561.0000000000005</v>
      </c>
      <c r="AO14" s="111">
        <f t="shared" si="3"/>
        <v>2574</v>
      </c>
      <c r="AP14" s="111">
        <f t="shared" si="3"/>
        <v>2587.0000000000005</v>
      </c>
      <c r="AQ14" s="111">
        <f t="shared" si="4"/>
        <v>2600</v>
      </c>
      <c r="AR14" s="111">
        <f t="shared" si="4"/>
        <v>2613.0000000000005</v>
      </c>
      <c r="AS14" s="111">
        <f t="shared" si="4"/>
        <v>2626</v>
      </c>
      <c r="AT14" s="111">
        <f t="shared" si="4"/>
        <v>2639.0000000000005</v>
      </c>
      <c r="AU14" s="111">
        <f t="shared" si="4"/>
        <v>2652</v>
      </c>
      <c r="AV14" s="111">
        <f t="shared" si="4"/>
        <v>2665.0000000000005</v>
      </c>
      <c r="AW14" s="111">
        <f t="shared" si="4"/>
        <v>2678</v>
      </c>
      <c r="AX14" s="111">
        <f t="shared" si="4"/>
        <v>2691.0000000000005</v>
      </c>
      <c r="AY14" s="111">
        <f t="shared" si="4"/>
        <v>2704</v>
      </c>
      <c r="AZ14" s="111">
        <f t="shared" si="4"/>
        <v>2717</v>
      </c>
    </row>
    <row r="15" spans="1:52" x14ac:dyDescent="0.2">
      <c r="A15" s="1">
        <v>10</v>
      </c>
      <c r="B15" s="113">
        <v>14</v>
      </c>
      <c r="C15" s="132">
        <f t="shared" si="0"/>
        <v>2240</v>
      </c>
      <c r="D15" s="132">
        <f t="shared" si="0"/>
        <v>2254</v>
      </c>
      <c r="E15" s="132">
        <f t="shared" si="0"/>
        <v>2268</v>
      </c>
      <c r="F15" s="132">
        <f t="shared" si="0"/>
        <v>2282</v>
      </c>
      <c r="G15" s="132">
        <f t="shared" si="0"/>
        <v>2296</v>
      </c>
      <c r="H15" s="132">
        <f t="shared" si="0"/>
        <v>2310</v>
      </c>
      <c r="I15" s="132">
        <f t="shared" si="0"/>
        <v>2324</v>
      </c>
      <c r="J15" s="132">
        <f t="shared" si="0"/>
        <v>2338.0000000000005</v>
      </c>
      <c r="K15" s="132">
        <f t="shared" si="0"/>
        <v>2352.0000000000005</v>
      </c>
      <c r="L15" s="132">
        <f t="shared" si="0"/>
        <v>2366.0000000000005</v>
      </c>
      <c r="M15" s="132">
        <f t="shared" si="1"/>
        <v>2380.0000000000005</v>
      </c>
      <c r="N15" s="132">
        <f t="shared" si="1"/>
        <v>2394.0000000000005</v>
      </c>
      <c r="O15" s="132">
        <f t="shared" si="1"/>
        <v>2408.0000000000005</v>
      </c>
      <c r="P15" s="132">
        <f t="shared" si="1"/>
        <v>2422</v>
      </c>
      <c r="Q15" s="111">
        <f t="shared" si="1"/>
        <v>2436.0000000000005</v>
      </c>
      <c r="R15" s="111">
        <f t="shared" si="1"/>
        <v>2450</v>
      </c>
      <c r="S15" s="111">
        <f t="shared" si="1"/>
        <v>2464</v>
      </c>
      <c r="T15" s="111">
        <f t="shared" si="1"/>
        <v>2478</v>
      </c>
      <c r="U15" s="111">
        <f t="shared" si="1"/>
        <v>2492</v>
      </c>
      <c r="V15" s="111">
        <f t="shared" si="1"/>
        <v>2506</v>
      </c>
      <c r="W15" s="111">
        <f t="shared" si="2"/>
        <v>2520</v>
      </c>
      <c r="X15" s="111">
        <f t="shared" si="2"/>
        <v>2534</v>
      </c>
      <c r="Y15" s="111">
        <f t="shared" si="2"/>
        <v>2548</v>
      </c>
      <c r="Z15" s="111">
        <f t="shared" si="2"/>
        <v>2562</v>
      </c>
      <c r="AA15" s="111">
        <f t="shared" si="2"/>
        <v>2576</v>
      </c>
      <c r="AB15" s="111">
        <f t="shared" si="2"/>
        <v>2590</v>
      </c>
      <c r="AC15" s="111">
        <f t="shared" si="2"/>
        <v>2604</v>
      </c>
      <c r="AD15" s="111">
        <f t="shared" si="2"/>
        <v>2618</v>
      </c>
      <c r="AE15" s="111">
        <f t="shared" si="2"/>
        <v>2632</v>
      </c>
      <c r="AF15" s="111">
        <f t="shared" si="2"/>
        <v>2646</v>
      </c>
      <c r="AG15" s="111">
        <f t="shared" si="3"/>
        <v>2660</v>
      </c>
      <c r="AH15" s="111">
        <f t="shared" si="3"/>
        <v>2674</v>
      </c>
      <c r="AI15" s="111">
        <f t="shared" si="3"/>
        <v>2688.0000000000005</v>
      </c>
      <c r="AJ15" s="111">
        <f t="shared" si="3"/>
        <v>2702.0000000000005</v>
      </c>
      <c r="AK15" s="111">
        <f t="shared" si="3"/>
        <v>2716.0000000000005</v>
      </c>
      <c r="AL15" s="111">
        <f t="shared" si="3"/>
        <v>2730.0000000000005</v>
      </c>
      <c r="AM15" s="111">
        <f t="shared" si="3"/>
        <v>2744</v>
      </c>
      <c r="AN15" s="111">
        <f t="shared" si="3"/>
        <v>2758.0000000000005</v>
      </c>
      <c r="AO15" s="111">
        <f t="shared" si="3"/>
        <v>2772</v>
      </c>
      <c r="AP15" s="111">
        <f t="shared" si="3"/>
        <v>2786.0000000000005</v>
      </c>
      <c r="AQ15" s="111">
        <f t="shared" si="4"/>
        <v>2800</v>
      </c>
      <c r="AR15" s="111">
        <f t="shared" si="4"/>
        <v>2814.0000000000005</v>
      </c>
      <c r="AS15" s="111">
        <f t="shared" si="4"/>
        <v>2828</v>
      </c>
      <c r="AT15" s="111">
        <f t="shared" si="4"/>
        <v>2842.0000000000005</v>
      </c>
      <c r="AU15" s="111">
        <f t="shared" si="4"/>
        <v>2856</v>
      </c>
      <c r="AV15" s="111">
        <f t="shared" si="4"/>
        <v>2870.0000000000005</v>
      </c>
      <c r="AW15" s="111">
        <f t="shared" si="4"/>
        <v>2884</v>
      </c>
      <c r="AX15" s="111">
        <f t="shared" si="4"/>
        <v>2898.0000000000005</v>
      </c>
      <c r="AY15" s="111">
        <f t="shared" si="4"/>
        <v>2912</v>
      </c>
      <c r="AZ15" s="111">
        <f t="shared" si="4"/>
        <v>2926</v>
      </c>
    </row>
    <row r="16" spans="1:52" x14ac:dyDescent="0.2">
      <c r="A16" s="1">
        <v>11</v>
      </c>
      <c r="B16" s="113">
        <v>15</v>
      </c>
      <c r="C16" s="132">
        <f t="shared" ref="C16:L21" si="5">unit_dps*(base_stat1+C$5)*$B16</f>
        <v>2400</v>
      </c>
      <c r="D16" s="132">
        <f t="shared" si="5"/>
        <v>2415</v>
      </c>
      <c r="E16" s="132">
        <f t="shared" si="5"/>
        <v>2430</v>
      </c>
      <c r="F16" s="132">
        <f t="shared" si="5"/>
        <v>2445</v>
      </c>
      <c r="G16" s="132">
        <f t="shared" si="5"/>
        <v>2460</v>
      </c>
      <c r="H16" s="132">
        <f t="shared" si="5"/>
        <v>2475</v>
      </c>
      <c r="I16" s="132">
        <f t="shared" si="5"/>
        <v>2490</v>
      </c>
      <c r="J16" s="132">
        <f t="shared" si="5"/>
        <v>2505.0000000000005</v>
      </c>
      <c r="K16" s="132">
        <f t="shared" si="5"/>
        <v>2520.0000000000005</v>
      </c>
      <c r="L16" s="132">
        <f t="shared" si="5"/>
        <v>2535.0000000000005</v>
      </c>
      <c r="M16" s="132">
        <f t="shared" ref="M16:V21" si="6">unit_dps*(base_stat1+M$5)*$B16</f>
        <v>2550.0000000000005</v>
      </c>
      <c r="N16" s="132">
        <f t="shared" si="6"/>
        <v>2565.0000000000005</v>
      </c>
      <c r="O16" s="132">
        <f t="shared" si="6"/>
        <v>2580.0000000000005</v>
      </c>
      <c r="P16" s="132">
        <f t="shared" si="6"/>
        <v>2595</v>
      </c>
      <c r="Q16" s="132">
        <f t="shared" si="6"/>
        <v>2610.0000000000005</v>
      </c>
      <c r="R16" s="111">
        <f t="shared" si="6"/>
        <v>2625</v>
      </c>
      <c r="S16" s="111">
        <f t="shared" si="6"/>
        <v>2640</v>
      </c>
      <c r="T16" s="111">
        <f t="shared" si="6"/>
        <v>2655</v>
      </c>
      <c r="U16" s="111">
        <f t="shared" si="6"/>
        <v>2670</v>
      </c>
      <c r="V16" s="111">
        <f t="shared" si="6"/>
        <v>2685</v>
      </c>
      <c r="W16" s="111">
        <f t="shared" ref="W16:AF21" si="7">unit_dps*(base_stat1+W$5)*$B16</f>
        <v>2700</v>
      </c>
      <c r="X16" s="114">
        <f t="shared" si="7"/>
        <v>2715</v>
      </c>
      <c r="Y16" s="111">
        <f t="shared" si="7"/>
        <v>2730</v>
      </c>
      <c r="Z16" s="114">
        <f t="shared" si="7"/>
        <v>2745</v>
      </c>
      <c r="AA16" s="111">
        <f t="shared" si="7"/>
        <v>2760</v>
      </c>
      <c r="AB16" s="111">
        <f t="shared" si="7"/>
        <v>2775</v>
      </c>
      <c r="AC16" s="111">
        <f t="shared" si="7"/>
        <v>2790</v>
      </c>
      <c r="AD16" s="111">
        <f t="shared" si="7"/>
        <v>2805</v>
      </c>
      <c r="AE16" s="111">
        <f t="shared" si="7"/>
        <v>2820</v>
      </c>
      <c r="AF16" s="111">
        <f t="shared" si="7"/>
        <v>2835</v>
      </c>
      <c r="AG16" s="111">
        <f t="shared" ref="AG16:AP21" si="8">unit_dps*(base_stat1+AG$5)*$B16</f>
        <v>2850</v>
      </c>
      <c r="AH16" s="111">
        <f t="shared" si="8"/>
        <v>2865</v>
      </c>
      <c r="AI16" s="111">
        <f t="shared" si="8"/>
        <v>2880.0000000000005</v>
      </c>
      <c r="AJ16" s="111">
        <f t="shared" si="8"/>
        <v>2895.0000000000005</v>
      </c>
      <c r="AK16" s="111">
        <f t="shared" si="8"/>
        <v>2910.0000000000005</v>
      </c>
      <c r="AL16" s="111">
        <f t="shared" si="8"/>
        <v>2925.0000000000005</v>
      </c>
      <c r="AM16" s="111">
        <f t="shared" si="8"/>
        <v>2940</v>
      </c>
      <c r="AN16" s="111">
        <f t="shared" si="8"/>
        <v>2955.0000000000005</v>
      </c>
      <c r="AO16" s="111">
        <f t="shared" si="8"/>
        <v>2970</v>
      </c>
      <c r="AP16" s="111">
        <f t="shared" si="8"/>
        <v>2985.0000000000005</v>
      </c>
      <c r="AQ16" s="111">
        <f t="shared" ref="AQ16:AZ21" si="9">unit_dps*(base_stat1+AQ$5)*$B16</f>
        <v>3000</v>
      </c>
      <c r="AR16" s="111">
        <f t="shared" si="9"/>
        <v>3015.0000000000005</v>
      </c>
      <c r="AS16" s="111">
        <f t="shared" si="9"/>
        <v>3030</v>
      </c>
      <c r="AT16" s="111">
        <f t="shared" si="9"/>
        <v>3045.0000000000005</v>
      </c>
      <c r="AU16" s="111">
        <f t="shared" si="9"/>
        <v>3060</v>
      </c>
      <c r="AV16" s="111">
        <f t="shared" si="9"/>
        <v>3075.0000000000005</v>
      </c>
      <c r="AW16" s="111">
        <f t="shared" si="9"/>
        <v>3090</v>
      </c>
      <c r="AX16" s="111">
        <f t="shared" si="9"/>
        <v>3105.0000000000005</v>
      </c>
      <c r="AY16" s="111">
        <f t="shared" si="9"/>
        <v>3120</v>
      </c>
      <c r="AZ16" s="111">
        <f t="shared" si="9"/>
        <v>3135</v>
      </c>
    </row>
    <row r="17" spans="1:52" x14ac:dyDescent="0.2">
      <c r="A17" s="1">
        <v>12</v>
      </c>
      <c r="B17" s="113">
        <v>16</v>
      </c>
      <c r="C17" s="132">
        <f t="shared" si="5"/>
        <v>2560</v>
      </c>
      <c r="D17" s="132">
        <f t="shared" si="5"/>
        <v>2576</v>
      </c>
      <c r="E17" s="132">
        <f t="shared" si="5"/>
        <v>2592</v>
      </c>
      <c r="F17" s="132">
        <f t="shared" si="5"/>
        <v>2608</v>
      </c>
      <c r="G17" s="132">
        <f t="shared" si="5"/>
        <v>2624</v>
      </c>
      <c r="H17" s="132">
        <f t="shared" si="5"/>
        <v>2640</v>
      </c>
      <c r="I17" s="132">
        <f t="shared" si="5"/>
        <v>2656</v>
      </c>
      <c r="J17" s="132">
        <f t="shared" si="5"/>
        <v>2672.0000000000005</v>
      </c>
      <c r="K17" s="132">
        <f t="shared" si="5"/>
        <v>2688.0000000000005</v>
      </c>
      <c r="L17" s="132">
        <f t="shared" si="5"/>
        <v>2704.0000000000005</v>
      </c>
      <c r="M17" s="132">
        <f t="shared" si="6"/>
        <v>2720.0000000000005</v>
      </c>
      <c r="N17" s="132">
        <f t="shared" si="6"/>
        <v>2736.0000000000005</v>
      </c>
      <c r="O17" s="132">
        <f t="shared" si="6"/>
        <v>2752.0000000000005</v>
      </c>
      <c r="P17" s="132">
        <f t="shared" si="6"/>
        <v>2768</v>
      </c>
      <c r="Q17" s="132">
        <f t="shared" si="6"/>
        <v>2784.0000000000005</v>
      </c>
      <c r="R17" s="132">
        <f t="shared" si="6"/>
        <v>2800</v>
      </c>
      <c r="S17" s="132">
        <f t="shared" si="6"/>
        <v>2816</v>
      </c>
      <c r="T17" s="115">
        <f t="shared" si="6"/>
        <v>2832</v>
      </c>
      <c r="U17" s="111">
        <f t="shared" si="6"/>
        <v>2848</v>
      </c>
      <c r="V17" s="111">
        <f t="shared" si="6"/>
        <v>2864</v>
      </c>
      <c r="W17" s="111">
        <f t="shared" si="7"/>
        <v>2880</v>
      </c>
      <c r="X17" s="111">
        <f t="shared" si="7"/>
        <v>2896</v>
      </c>
      <c r="Y17" s="111">
        <f t="shared" si="7"/>
        <v>2912</v>
      </c>
      <c r="Z17" s="111">
        <f t="shared" si="7"/>
        <v>2928</v>
      </c>
      <c r="AA17" s="111">
        <f t="shared" si="7"/>
        <v>2944</v>
      </c>
      <c r="AB17" s="111">
        <f t="shared" si="7"/>
        <v>2960</v>
      </c>
      <c r="AC17" s="111">
        <f t="shared" si="7"/>
        <v>2976</v>
      </c>
      <c r="AD17" s="111">
        <f t="shared" si="7"/>
        <v>2992</v>
      </c>
      <c r="AE17" s="111">
        <f t="shared" si="7"/>
        <v>3008</v>
      </c>
      <c r="AF17" s="111">
        <f t="shared" si="7"/>
        <v>3024</v>
      </c>
      <c r="AG17" s="111">
        <f t="shared" si="8"/>
        <v>3040</v>
      </c>
      <c r="AH17" s="111">
        <f t="shared" si="8"/>
        <v>3056</v>
      </c>
      <c r="AI17" s="111">
        <f t="shared" si="8"/>
        <v>3072.0000000000005</v>
      </c>
      <c r="AJ17" s="111">
        <f t="shared" si="8"/>
        <v>3088.0000000000005</v>
      </c>
      <c r="AK17" s="111">
        <f t="shared" si="8"/>
        <v>3104.0000000000005</v>
      </c>
      <c r="AL17" s="111">
        <f t="shared" si="8"/>
        <v>3120.0000000000005</v>
      </c>
      <c r="AM17" s="111">
        <f t="shared" si="8"/>
        <v>3136</v>
      </c>
      <c r="AN17" s="111">
        <f t="shared" si="8"/>
        <v>3152.0000000000005</v>
      </c>
      <c r="AO17" s="111">
        <f t="shared" si="8"/>
        <v>3168</v>
      </c>
      <c r="AP17" s="111">
        <f t="shared" si="8"/>
        <v>3184.0000000000005</v>
      </c>
      <c r="AQ17" s="111">
        <f t="shared" si="9"/>
        <v>3200</v>
      </c>
      <c r="AR17" s="111">
        <f t="shared" si="9"/>
        <v>3216.0000000000005</v>
      </c>
      <c r="AS17" s="111">
        <f t="shared" si="9"/>
        <v>3232</v>
      </c>
      <c r="AT17" s="111">
        <f t="shared" si="9"/>
        <v>3248.0000000000005</v>
      </c>
      <c r="AU17" s="111">
        <f t="shared" si="9"/>
        <v>3264</v>
      </c>
      <c r="AV17" s="111">
        <f t="shared" si="9"/>
        <v>3280.0000000000005</v>
      </c>
      <c r="AW17" s="111">
        <f t="shared" si="9"/>
        <v>3296</v>
      </c>
      <c r="AX17" s="111">
        <f t="shared" si="9"/>
        <v>3312.0000000000005</v>
      </c>
      <c r="AY17" s="111">
        <f t="shared" si="9"/>
        <v>3328</v>
      </c>
      <c r="AZ17" s="111">
        <f t="shared" si="9"/>
        <v>3344</v>
      </c>
    </row>
    <row r="18" spans="1:52" x14ac:dyDescent="0.2">
      <c r="A18" s="1">
        <v>13</v>
      </c>
      <c r="B18" s="113">
        <v>17</v>
      </c>
      <c r="C18" s="132">
        <f t="shared" si="5"/>
        <v>2720</v>
      </c>
      <c r="D18" s="132">
        <f t="shared" si="5"/>
        <v>2737</v>
      </c>
      <c r="E18" s="132">
        <f t="shared" si="5"/>
        <v>2754</v>
      </c>
      <c r="F18" s="132">
        <f t="shared" si="5"/>
        <v>2771</v>
      </c>
      <c r="G18" s="132">
        <f t="shared" si="5"/>
        <v>2788</v>
      </c>
      <c r="H18" s="132">
        <f t="shared" si="5"/>
        <v>2805</v>
      </c>
      <c r="I18" s="132">
        <f t="shared" si="5"/>
        <v>2822</v>
      </c>
      <c r="J18" s="132">
        <f t="shared" si="5"/>
        <v>2839.0000000000005</v>
      </c>
      <c r="K18" s="132">
        <f t="shared" si="5"/>
        <v>2856.0000000000005</v>
      </c>
      <c r="L18" s="132">
        <f t="shared" si="5"/>
        <v>2873.0000000000005</v>
      </c>
      <c r="M18" s="132">
        <f t="shared" si="6"/>
        <v>2890.0000000000005</v>
      </c>
      <c r="N18" s="132">
        <f t="shared" si="6"/>
        <v>2907.0000000000005</v>
      </c>
      <c r="O18" s="132">
        <f t="shared" si="6"/>
        <v>2924.0000000000005</v>
      </c>
      <c r="P18" s="132">
        <f t="shared" si="6"/>
        <v>2941</v>
      </c>
      <c r="Q18" s="132">
        <f t="shared" si="6"/>
        <v>2958.0000000000005</v>
      </c>
      <c r="R18" s="132">
        <f t="shared" si="6"/>
        <v>2975</v>
      </c>
      <c r="S18" s="132">
        <f t="shared" si="6"/>
        <v>2992</v>
      </c>
      <c r="T18" s="132">
        <f t="shared" si="6"/>
        <v>3009</v>
      </c>
      <c r="U18" s="111">
        <f t="shared" si="6"/>
        <v>3026</v>
      </c>
      <c r="V18" s="111">
        <f t="shared" si="6"/>
        <v>3043</v>
      </c>
      <c r="W18" s="111">
        <f t="shared" si="7"/>
        <v>3060</v>
      </c>
      <c r="X18" s="111">
        <f t="shared" si="7"/>
        <v>3077</v>
      </c>
      <c r="Y18" s="111">
        <f t="shared" si="7"/>
        <v>3094</v>
      </c>
      <c r="Z18" s="111">
        <f t="shared" si="7"/>
        <v>3111</v>
      </c>
      <c r="AA18" s="111">
        <f t="shared" si="7"/>
        <v>3128</v>
      </c>
      <c r="AB18" s="111">
        <f t="shared" si="7"/>
        <v>3145</v>
      </c>
      <c r="AC18" s="111">
        <f t="shared" si="7"/>
        <v>3162</v>
      </c>
      <c r="AD18" s="111">
        <f t="shared" si="7"/>
        <v>3179</v>
      </c>
      <c r="AE18" s="111">
        <f t="shared" si="7"/>
        <v>3196</v>
      </c>
      <c r="AF18" s="111">
        <f t="shared" si="7"/>
        <v>3213</v>
      </c>
      <c r="AG18" s="111">
        <f t="shared" si="8"/>
        <v>3230</v>
      </c>
      <c r="AH18" s="111">
        <f t="shared" si="8"/>
        <v>3247</v>
      </c>
      <c r="AI18" s="111">
        <f t="shared" si="8"/>
        <v>3264.0000000000005</v>
      </c>
      <c r="AJ18" s="111">
        <f t="shared" si="8"/>
        <v>3281.0000000000005</v>
      </c>
      <c r="AK18" s="111">
        <f t="shared" si="8"/>
        <v>3298.0000000000005</v>
      </c>
      <c r="AL18" s="111">
        <f t="shared" si="8"/>
        <v>3315.0000000000005</v>
      </c>
      <c r="AM18" s="111">
        <f t="shared" si="8"/>
        <v>3332</v>
      </c>
      <c r="AN18" s="111">
        <f t="shared" si="8"/>
        <v>3349.0000000000005</v>
      </c>
      <c r="AO18" s="111">
        <f t="shared" si="8"/>
        <v>3366</v>
      </c>
      <c r="AP18" s="111">
        <f t="shared" si="8"/>
        <v>3383.0000000000005</v>
      </c>
      <c r="AQ18" s="111">
        <f t="shared" si="9"/>
        <v>3400</v>
      </c>
      <c r="AR18" s="111">
        <f t="shared" si="9"/>
        <v>3417.0000000000005</v>
      </c>
      <c r="AS18" s="111">
        <f t="shared" si="9"/>
        <v>3434</v>
      </c>
      <c r="AT18" s="111">
        <f t="shared" si="9"/>
        <v>3451.0000000000005</v>
      </c>
      <c r="AU18" s="111">
        <f t="shared" si="9"/>
        <v>3468</v>
      </c>
      <c r="AV18" s="111">
        <f t="shared" si="9"/>
        <v>3485.0000000000005</v>
      </c>
      <c r="AW18" s="111">
        <f t="shared" si="9"/>
        <v>3502</v>
      </c>
      <c r="AX18" s="111">
        <f t="shared" si="9"/>
        <v>3519.0000000000005</v>
      </c>
      <c r="AY18" s="111">
        <f t="shared" si="9"/>
        <v>3536</v>
      </c>
      <c r="AZ18" s="111">
        <f t="shared" si="9"/>
        <v>3553</v>
      </c>
    </row>
    <row r="19" spans="1:52" x14ac:dyDescent="0.2">
      <c r="A19" s="1">
        <v>14</v>
      </c>
      <c r="B19" s="113">
        <v>18</v>
      </c>
      <c r="C19" s="132">
        <f t="shared" si="5"/>
        <v>2880</v>
      </c>
      <c r="D19" s="132">
        <f t="shared" si="5"/>
        <v>2898</v>
      </c>
      <c r="E19" s="132">
        <f t="shared" si="5"/>
        <v>2916</v>
      </c>
      <c r="F19" s="132">
        <f t="shared" si="5"/>
        <v>2934</v>
      </c>
      <c r="G19" s="132">
        <f t="shared" si="5"/>
        <v>2952</v>
      </c>
      <c r="H19" s="132">
        <f t="shared" si="5"/>
        <v>2970</v>
      </c>
      <c r="I19" s="132">
        <f t="shared" si="5"/>
        <v>2988</v>
      </c>
      <c r="J19" s="132">
        <f t="shared" si="5"/>
        <v>3006.0000000000005</v>
      </c>
      <c r="K19" s="132">
        <f t="shared" si="5"/>
        <v>3024.0000000000005</v>
      </c>
      <c r="L19" s="132">
        <f t="shared" si="5"/>
        <v>3042.0000000000005</v>
      </c>
      <c r="M19" s="132">
        <f t="shared" si="6"/>
        <v>3060.0000000000005</v>
      </c>
      <c r="N19" s="132">
        <f t="shared" si="6"/>
        <v>3078.0000000000005</v>
      </c>
      <c r="O19" s="132">
        <f t="shared" si="6"/>
        <v>3096.0000000000005</v>
      </c>
      <c r="P19" s="132">
        <f t="shared" si="6"/>
        <v>3114</v>
      </c>
      <c r="Q19" s="132">
        <f t="shared" si="6"/>
        <v>3132.0000000000005</v>
      </c>
      <c r="R19" s="132">
        <f t="shared" si="6"/>
        <v>3150</v>
      </c>
      <c r="S19" s="132">
        <f t="shared" si="6"/>
        <v>3168</v>
      </c>
      <c r="T19" s="132">
        <f t="shared" si="6"/>
        <v>3186</v>
      </c>
      <c r="U19" s="132">
        <f t="shared" si="6"/>
        <v>3204</v>
      </c>
      <c r="V19" s="132">
        <f t="shared" si="6"/>
        <v>3222</v>
      </c>
      <c r="W19" s="111">
        <f t="shared" si="7"/>
        <v>3240</v>
      </c>
      <c r="X19" s="111">
        <f t="shared" si="7"/>
        <v>3258</v>
      </c>
      <c r="Y19" s="111">
        <f t="shared" si="7"/>
        <v>3276</v>
      </c>
      <c r="Z19" s="111">
        <f t="shared" si="7"/>
        <v>3294</v>
      </c>
      <c r="AA19" s="111">
        <f t="shared" si="7"/>
        <v>3312</v>
      </c>
      <c r="AB19" s="111">
        <f t="shared" si="7"/>
        <v>3330</v>
      </c>
      <c r="AC19" s="111">
        <f t="shared" si="7"/>
        <v>3348</v>
      </c>
      <c r="AD19" s="111">
        <f t="shared" si="7"/>
        <v>3366</v>
      </c>
      <c r="AE19" s="111">
        <f t="shared" si="7"/>
        <v>3384</v>
      </c>
      <c r="AF19" s="111">
        <f t="shared" si="7"/>
        <v>3402</v>
      </c>
      <c r="AG19" s="111">
        <f t="shared" si="8"/>
        <v>3420</v>
      </c>
      <c r="AH19" s="111">
        <f t="shared" si="8"/>
        <v>3438</v>
      </c>
      <c r="AI19" s="111">
        <f t="shared" si="8"/>
        <v>3456.0000000000005</v>
      </c>
      <c r="AJ19" s="111">
        <f t="shared" si="8"/>
        <v>3474.0000000000005</v>
      </c>
      <c r="AK19" s="111">
        <f t="shared" si="8"/>
        <v>3492.0000000000005</v>
      </c>
      <c r="AL19" s="111">
        <f t="shared" si="8"/>
        <v>3510.0000000000005</v>
      </c>
      <c r="AM19" s="111">
        <f t="shared" si="8"/>
        <v>3528</v>
      </c>
      <c r="AN19" s="111">
        <f t="shared" si="8"/>
        <v>3546.0000000000005</v>
      </c>
      <c r="AO19" s="111">
        <f t="shared" si="8"/>
        <v>3564</v>
      </c>
      <c r="AP19" s="111">
        <f t="shared" si="8"/>
        <v>3582.0000000000005</v>
      </c>
      <c r="AQ19" s="111">
        <f t="shared" si="9"/>
        <v>3600</v>
      </c>
      <c r="AR19" s="111">
        <f t="shared" si="9"/>
        <v>3618.0000000000005</v>
      </c>
      <c r="AS19" s="111">
        <f t="shared" si="9"/>
        <v>3636</v>
      </c>
      <c r="AT19" s="111">
        <f t="shared" si="9"/>
        <v>3654.0000000000005</v>
      </c>
      <c r="AU19" s="111">
        <f t="shared" si="9"/>
        <v>3672</v>
      </c>
      <c r="AV19" s="111">
        <f t="shared" si="9"/>
        <v>3690.0000000000005</v>
      </c>
      <c r="AW19" s="111">
        <f t="shared" si="9"/>
        <v>3708</v>
      </c>
      <c r="AX19" s="111">
        <f t="shared" si="9"/>
        <v>3726.0000000000005</v>
      </c>
      <c r="AY19" s="111">
        <f t="shared" si="9"/>
        <v>3744</v>
      </c>
      <c r="AZ19" s="111">
        <f t="shared" si="9"/>
        <v>3762</v>
      </c>
    </row>
    <row r="20" spans="1:52" x14ac:dyDescent="0.2">
      <c r="A20" s="1">
        <v>15</v>
      </c>
      <c r="B20" s="113">
        <v>19</v>
      </c>
      <c r="C20" s="132">
        <f t="shared" si="5"/>
        <v>3040</v>
      </c>
      <c r="D20" s="132">
        <f t="shared" si="5"/>
        <v>3059</v>
      </c>
      <c r="E20" s="132">
        <f t="shared" si="5"/>
        <v>3078</v>
      </c>
      <c r="F20" s="132">
        <f t="shared" si="5"/>
        <v>3097</v>
      </c>
      <c r="G20" s="132">
        <f t="shared" si="5"/>
        <v>3116</v>
      </c>
      <c r="H20" s="132">
        <f t="shared" si="5"/>
        <v>3135</v>
      </c>
      <c r="I20" s="132">
        <f t="shared" si="5"/>
        <v>3154</v>
      </c>
      <c r="J20" s="132">
        <f t="shared" si="5"/>
        <v>3173.0000000000005</v>
      </c>
      <c r="K20" s="132">
        <f t="shared" si="5"/>
        <v>3192.0000000000005</v>
      </c>
      <c r="L20" s="132">
        <f t="shared" si="5"/>
        <v>3211.0000000000005</v>
      </c>
      <c r="M20" s="132">
        <f t="shared" si="6"/>
        <v>3230.0000000000005</v>
      </c>
      <c r="N20" s="132">
        <f t="shared" si="6"/>
        <v>3249.0000000000005</v>
      </c>
      <c r="O20" s="132">
        <f t="shared" si="6"/>
        <v>3268.0000000000005</v>
      </c>
      <c r="P20" s="132">
        <f t="shared" si="6"/>
        <v>3287</v>
      </c>
      <c r="Q20" s="132">
        <f t="shared" si="6"/>
        <v>3306.0000000000005</v>
      </c>
      <c r="R20" s="132">
        <f t="shared" si="6"/>
        <v>3325</v>
      </c>
      <c r="S20" s="132">
        <f t="shared" si="6"/>
        <v>3344</v>
      </c>
      <c r="T20" s="132">
        <f t="shared" si="6"/>
        <v>3363</v>
      </c>
      <c r="U20" s="132">
        <f t="shared" si="6"/>
        <v>3382</v>
      </c>
      <c r="V20" s="132">
        <f t="shared" si="6"/>
        <v>3401</v>
      </c>
      <c r="W20" s="132">
        <f t="shared" si="7"/>
        <v>3420</v>
      </c>
      <c r="X20" s="111">
        <f t="shared" si="7"/>
        <v>3439</v>
      </c>
      <c r="Y20" s="111">
        <f t="shared" si="7"/>
        <v>3458</v>
      </c>
      <c r="Z20" s="111">
        <f t="shared" si="7"/>
        <v>3477</v>
      </c>
      <c r="AA20" s="111">
        <f t="shared" si="7"/>
        <v>3496</v>
      </c>
      <c r="AB20" s="111">
        <f t="shared" si="7"/>
        <v>3515</v>
      </c>
      <c r="AC20" s="111">
        <f t="shared" si="7"/>
        <v>3534</v>
      </c>
      <c r="AD20" s="111">
        <f t="shared" si="7"/>
        <v>3553</v>
      </c>
      <c r="AE20" s="111">
        <f t="shared" si="7"/>
        <v>3572</v>
      </c>
      <c r="AF20" s="111">
        <f t="shared" si="7"/>
        <v>3591</v>
      </c>
      <c r="AG20" s="111">
        <f t="shared" si="8"/>
        <v>3610</v>
      </c>
      <c r="AH20" s="111">
        <f t="shared" si="8"/>
        <v>3629</v>
      </c>
      <c r="AI20" s="111">
        <f t="shared" si="8"/>
        <v>3648.0000000000005</v>
      </c>
      <c r="AJ20" s="111">
        <f t="shared" si="8"/>
        <v>3667.0000000000005</v>
      </c>
      <c r="AK20" s="111">
        <f t="shared" si="8"/>
        <v>3686.0000000000005</v>
      </c>
      <c r="AL20" s="111">
        <f t="shared" si="8"/>
        <v>3705.0000000000005</v>
      </c>
      <c r="AM20" s="111">
        <f t="shared" si="8"/>
        <v>3724</v>
      </c>
      <c r="AN20" s="111">
        <f t="shared" si="8"/>
        <v>3743.0000000000005</v>
      </c>
      <c r="AO20" s="111">
        <f t="shared" si="8"/>
        <v>3762</v>
      </c>
      <c r="AP20" s="111">
        <f t="shared" si="8"/>
        <v>3781.0000000000005</v>
      </c>
      <c r="AQ20" s="111">
        <f t="shared" si="9"/>
        <v>3800</v>
      </c>
      <c r="AR20" s="111">
        <f t="shared" si="9"/>
        <v>3819.0000000000005</v>
      </c>
      <c r="AS20" s="111">
        <f t="shared" si="9"/>
        <v>3838</v>
      </c>
      <c r="AT20" s="111">
        <f t="shared" si="9"/>
        <v>3857.0000000000005</v>
      </c>
      <c r="AU20" s="111">
        <f t="shared" si="9"/>
        <v>3876</v>
      </c>
      <c r="AV20" s="111">
        <f t="shared" si="9"/>
        <v>3895.0000000000005</v>
      </c>
      <c r="AW20" s="111">
        <f t="shared" si="9"/>
        <v>3914</v>
      </c>
      <c r="AX20" s="111">
        <f t="shared" si="9"/>
        <v>3933.0000000000005</v>
      </c>
      <c r="AY20" s="111">
        <f t="shared" si="9"/>
        <v>3952</v>
      </c>
      <c r="AZ20" s="111">
        <f t="shared" si="9"/>
        <v>3971</v>
      </c>
    </row>
    <row r="21" spans="1:52" x14ac:dyDescent="0.2">
      <c r="A21" s="1">
        <v>16</v>
      </c>
      <c r="B21" s="116">
        <v>20</v>
      </c>
      <c r="C21" s="133">
        <f t="shared" si="5"/>
        <v>3200</v>
      </c>
      <c r="D21" s="133">
        <f t="shared" si="5"/>
        <v>3220</v>
      </c>
      <c r="E21" s="133">
        <f t="shared" si="5"/>
        <v>3240</v>
      </c>
      <c r="F21" s="133">
        <f t="shared" si="5"/>
        <v>3260</v>
      </c>
      <c r="G21" s="133">
        <f t="shared" si="5"/>
        <v>3280</v>
      </c>
      <c r="H21" s="133">
        <f t="shared" si="5"/>
        <v>3300</v>
      </c>
      <c r="I21" s="133">
        <f t="shared" si="5"/>
        <v>3320</v>
      </c>
      <c r="J21" s="133">
        <f t="shared" si="5"/>
        <v>3340.0000000000005</v>
      </c>
      <c r="K21" s="133">
        <f t="shared" si="5"/>
        <v>3360.0000000000005</v>
      </c>
      <c r="L21" s="133">
        <f t="shared" si="5"/>
        <v>3380.0000000000005</v>
      </c>
      <c r="M21" s="133">
        <f t="shared" si="6"/>
        <v>3400.0000000000005</v>
      </c>
      <c r="N21" s="133">
        <f t="shared" si="6"/>
        <v>3420.0000000000005</v>
      </c>
      <c r="O21" s="133">
        <f t="shared" si="6"/>
        <v>3440.0000000000005</v>
      </c>
      <c r="P21" s="133">
        <f t="shared" si="6"/>
        <v>3460</v>
      </c>
      <c r="Q21" s="133">
        <f t="shared" si="6"/>
        <v>3480.0000000000005</v>
      </c>
      <c r="R21" s="133">
        <f t="shared" si="6"/>
        <v>3500</v>
      </c>
      <c r="S21" s="133">
        <f t="shared" si="6"/>
        <v>3520</v>
      </c>
      <c r="T21" s="133">
        <f t="shared" si="6"/>
        <v>3540</v>
      </c>
      <c r="U21" s="133">
        <f t="shared" si="6"/>
        <v>3560</v>
      </c>
      <c r="V21" s="133">
        <f t="shared" si="6"/>
        <v>3580</v>
      </c>
      <c r="W21" s="133">
        <f t="shared" si="7"/>
        <v>3600</v>
      </c>
      <c r="X21" s="133">
        <f t="shared" si="7"/>
        <v>3620</v>
      </c>
      <c r="Y21" s="133">
        <f t="shared" si="7"/>
        <v>3640</v>
      </c>
      <c r="Z21" s="111">
        <f t="shared" si="7"/>
        <v>3660</v>
      </c>
      <c r="AA21" s="111">
        <f t="shared" si="7"/>
        <v>3680</v>
      </c>
      <c r="AB21" s="111">
        <f t="shared" si="7"/>
        <v>3700</v>
      </c>
      <c r="AC21" s="111">
        <f t="shared" si="7"/>
        <v>3720</v>
      </c>
      <c r="AD21" s="111">
        <f t="shared" si="7"/>
        <v>3740</v>
      </c>
      <c r="AE21" s="111">
        <f t="shared" si="7"/>
        <v>3760</v>
      </c>
      <c r="AF21" s="111">
        <f t="shared" si="7"/>
        <v>3780</v>
      </c>
      <c r="AG21" s="111">
        <f t="shared" si="8"/>
        <v>3800</v>
      </c>
      <c r="AH21" s="111">
        <f t="shared" si="8"/>
        <v>3820</v>
      </c>
      <c r="AI21" s="111">
        <f t="shared" si="8"/>
        <v>3840.0000000000005</v>
      </c>
      <c r="AJ21" s="111">
        <f t="shared" si="8"/>
        <v>3860.0000000000005</v>
      </c>
      <c r="AK21" s="111">
        <f t="shared" si="8"/>
        <v>3880.0000000000005</v>
      </c>
      <c r="AL21" s="111">
        <f t="shared" si="8"/>
        <v>3900.0000000000005</v>
      </c>
      <c r="AM21" s="111">
        <f t="shared" si="8"/>
        <v>3920</v>
      </c>
      <c r="AN21" s="111">
        <f t="shared" si="8"/>
        <v>3940.0000000000005</v>
      </c>
      <c r="AO21" s="111">
        <f t="shared" si="8"/>
        <v>3960</v>
      </c>
      <c r="AP21" s="111">
        <f t="shared" si="8"/>
        <v>3980.0000000000005</v>
      </c>
      <c r="AQ21" s="111">
        <f t="shared" si="9"/>
        <v>4000</v>
      </c>
      <c r="AR21" s="111">
        <f t="shared" si="9"/>
        <v>4020.0000000000005</v>
      </c>
      <c r="AS21" s="111">
        <f t="shared" si="9"/>
        <v>4040</v>
      </c>
      <c r="AT21" s="111">
        <f t="shared" si="9"/>
        <v>4060.0000000000005</v>
      </c>
      <c r="AU21" s="111">
        <f t="shared" si="9"/>
        <v>4080</v>
      </c>
      <c r="AV21" s="111">
        <f t="shared" si="9"/>
        <v>4100.0000000000009</v>
      </c>
      <c r="AW21" s="111">
        <f t="shared" si="9"/>
        <v>4120</v>
      </c>
      <c r="AX21" s="111">
        <f t="shared" si="9"/>
        <v>4140.0000000000009</v>
      </c>
      <c r="AY21" s="111">
        <f t="shared" si="9"/>
        <v>4160</v>
      </c>
      <c r="AZ21" s="111">
        <f t="shared" si="9"/>
        <v>4180</v>
      </c>
    </row>
    <row r="22" spans="1:52" s="134" customFormat="1" x14ac:dyDescent="0.2">
      <c r="A22" s="136"/>
      <c r="B22" s="134">
        <v>1.6</v>
      </c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37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</row>
    <row r="23" spans="1:52" x14ac:dyDescent="0.2">
      <c r="B23" s="118" t="s">
        <v>208</v>
      </c>
      <c r="C23" s="108" t="s">
        <v>206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9"/>
    </row>
    <row r="24" spans="1:52" x14ac:dyDescent="0.2">
      <c r="B24" s="110"/>
      <c r="C24" s="111">
        <v>1</v>
      </c>
      <c r="D24" s="111">
        <v>2</v>
      </c>
      <c r="E24" s="111">
        <v>3</v>
      </c>
      <c r="F24" s="111">
        <v>4</v>
      </c>
      <c r="G24" s="111">
        <v>5</v>
      </c>
      <c r="H24" s="111">
        <v>6</v>
      </c>
      <c r="I24" s="111">
        <v>7</v>
      </c>
      <c r="J24" s="111">
        <v>8</v>
      </c>
      <c r="K24" s="111">
        <v>9</v>
      </c>
      <c r="L24" s="111">
        <v>10</v>
      </c>
      <c r="M24" s="111">
        <v>11</v>
      </c>
      <c r="N24" s="111">
        <v>12</v>
      </c>
      <c r="O24" s="111">
        <v>13</v>
      </c>
      <c r="P24" s="111">
        <v>14</v>
      </c>
      <c r="Q24" s="111">
        <v>15</v>
      </c>
      <c r="R24" s="111">
        <v>16</v>
      </c>
      <c r="S24" s="111">
        <v>17</v>
      </c>
      <c r="T24" s="111">
        <v>18</v>
      </c>
      <c r="U24" s="111">
        <v>19</v>
      </c>
      <c r="V24" s="111">
        <v>20</v>
      </c>
      <c r="W24" s="111">
        <v>21</v>
      </c>
      <c r="X24" s="111">
        <v>22</v>
      </c>
      <c r="Y24" s="111">
        <v>23</v>
      </c>
      <c r="Z24" s="111">
        <v>24</v>
      </c>
      <c r="AA24" s="111">
        <v>25</v>
      </c>
      <c r="AB24" s="111">
        <v>26</v>
      </c>
      <c r="AC24" s="111">
        <v>27</v>
      </c>
      <c r="AD24" s="111">
        <v>28</v>
      </c>
      <c r="AE24" s="111">
        <v>29</v>
      </c>
      <c r="AF24" s="111">
        <v>30</v>
      </c>
      <c r="AG24" s="111">
        <v>31</v>
      </c>
      <c r="AH24" s="111">
        <v>32</v>
      </c>
      <c r="AI24" s="111">
        <v>33</v>
      </c>
      <c r="AJ24" s="111">
        <v>34</v>
      </c>
      <c r="AK24" s="111">
        <v>35</v>
      </c>
      <c r="AL24" s="111">
        <v>36</v>
      </c>
      <c r="AM24" s="111">
        <v>37</v>
      </c>
      <c r="AN24" s="111">
        <v>38</v>
      </c>
      <c r="AO24" s="111">
        <v>39</v>
      </c>
      <c r="AP24" s="111">
        <v>40</v>
      </c>
      <c r="AQ24" s="111">
        <v>41</v>
      </c>
      <c r="AR24" s="111">
        <v>42</v>
      </c>
      <c r="AS24" s="111">
        <v>43</v>
      </c>
      <c r="AT24" s="111">
        <v>44</v>
      </c>
      <c r="AU24" s="111">
        <v>45</v>
      </c>
      <c r="AV24" s="111">
        <v>46</v>
      </c>
      <c r="AW24" s="111">
        <v>47</v>
      </c>
      <c r="AX24" s="111">
        <v>48</v>
      </c>
      <c r="AY24" s="111">
        <v>49</v>
      </c>
      <c r="AZ24" s="111">
        <v>50</v>
      </c>
    </row>
    <row r="25" spans="1:52" x14ac:dyDescent="0.2">
      <c r="A25" s="1" t="s">
        <v>192</v>
      </c>
      <c r="B25" s="110" t="s">
        <v>215</v>
      </c>
      <c r="C25" s="112">
        <v>0</v>
      </c>
      <c r="D25" s="112">
        <v>0.04</v>
      </c>
      <c r="E25" s="112">
        <v>0.08</v>
      </c>
      <c r="F25" s="112">
        <v>0.12</v>
      </c>
      <c r="G25" s="112">
        <v>0.16</v>
      </c>
      <c r="H25" s="112">
        <v>0.2</v>
      </c>
      <c r="I25" s="112">
        <v>0.24</v>
      </c>
      <c r="J25" s="112">
        <v>0.28000000000000003</v>
      </c>
      <c r="K25" s="112">
        <v>0.32</v>
      </c>
      <c r="L25" s="112">
        <v>0.36</v>
      </c>
      <c r="M25" s="112">
        <v>0.4</v>
      </c>
      <c r="N25" s="112">
        <v>0.44</v>
      </c>
      <c r="O25" s="112">
        <v>0.48</v>
      </c>
      <c r="P25" s="112">
        <v>0.52</v>
      </c>
      <c r="Q25" s="112">
        <v>0.56000000000000005</v>
      </c>
      <c r="R25" s="112">
        <v>0.6</v>
      </c>
      <c r="S25" s="112">
        <v>0.64</v>
      </c>
      <c r="T25" s="112">
        <v>0.68</v>
      </c>
      <c r="U25" s="112">
        <v>0.72</v>
      </c>
      <c r="V25" s="112">
        <v>0.76</v>
      </c>
      <c r="W25" s="112">
        <v>0.8</v>
      </c>
      <c r="X25" s="112">
        <v>0.84</v>
      </c>
      <c r="Y25" s="112">
        <v>0.88</v>
      </c>
      <c r="Z25" s="112">
        <v>0.92</v>
      </c>
      <c r="AA25" s="112">
        <v>0.96</v>
      </c>
      <c r="AB25" s="112">
        <v>1</v>
      </c>
      <c r="AC25" s="112">
        <v>1.04</v>
      </c>
      <c r="AD25" s="112">
        <v>1.08</v>
      </c>
      <c r="AE25" s="112">
        <v>1.1200000000000001</v>
      </c>
      <c r="AF25" s="112">
        <v>1.1599999999999999</v>
      </c>
      <c r="AG25" s="112">
        <v>1.2</v>
      </c>
      <c r="AH25" s="112">
        <v>1.24</v>
      </c>
      <c r="AI25" s="112">
        <v>1.28</v>
      </c>
      <c r="AJ25" s="112">
        <v>1.32</v>
      </c>
      <c r="AK25" s="112">
        <v>1.36</v>
      </c>
      <c r="AL25" s="112">
        <v>1.4</v>
      </c>
      <c r="AM25" s="112">
        <v>1.44</v>
      </c>
      <c r="AN25" s="112">
        <v>1.48</v>
      </c>
      <c r="AO25" s="112">
        <v>1.52</v>
      </c>
      <c r="AP25" s="112">
        <v>1.56</v>
      </c>
      <c r="AQ25" s="112">
        <v>1.6</v>
      </c>
      <c r="AR25" s="112">
        <v>1.64</v>
      </c>
      <c r="AS25" s="112">
        <v>1.68</v>
      </c>
      <c r="AT25" s="112">
        <v>1.72</v>
      </c>
      <c r="AU25" s="112">
        <v>1.76</v>
      </c>
      <c r="AV25" s="112">
        <v>1.8</v>
      </c>
      <c r="AW25" s="112">
        <v>1.84</v>
      </c>
      <c r="AX25" s="112">
        <v>1.88</v>
      </c>
      <c r="AY25" s="112">
        <v>1.92</v>
      </c>
      <c r="AZ25" s="112">
        <v>1.96</v>
      </c>
    </row>
    <row r="26" spans="1:52" x14ac:dyDescent="0.2">
      <c r="A26" s="1">
        <v>1</v>
      </c>
      <c r="B26" s="113">
        <v>5</v>
      </c>
      <c r="C26" s="111">
        <f t="shared" ref="C26:L35" si="10">unit_dps*(base_stat+C$25)*$B26</f>
        <v>950</v>
      </c>
      <c r="D26" s="111">
        <f t="shared" si="10"/>
        <v>970</v>
      </c>
      <c r="E26" s="111">
        <f t="shared" si="10"/>
        <v>990</v>
      </c>
      <c r="F26" s="111">
        <f t="shared" si="10"/>
        <v>1010</v>
      </c>
      <c r="G26" s="111">
        <f t="shared" si="10"/>
        <v>1030</v>
      </c>
      <c r="H26" s="111">
        <f t="shared" si="10"/>
        <v>1050</v>
      </c>
      <c r="I26" s="111">
        <f t="shared" si="10"/>
        <v>1069.9999999999998</v>
      </c>
      <c r="J26" s="111">
        <f t="shared" si="10"/>
        <v>1089.9999999999998</v>
      </c>
      <c r="K26" s="111">
        <f t="shared" si="10"/>
        <v>1109.9999999999998</v>
      </c>
      <c r="L26" s="111">
        <f t="shared" si="10"/>
        <v>1129.9999999999998</v>
      </c>
      <c r="M26" s="111">
        <f t="shared" ref="M26:V35" si="11">unit_dps*(base_stat+M$25)*$B26</f>
        <v>1149.9999999999998</v>
      </c>
      <c r="N26" s="111">
        <f t="shared" si="11"/>
        <v>1170</v>
      </c>
      <c r="O26" s="111">
        <f t="shared" si="11"/>
        <v>1190</v>
      </c>
      <c r="P26" s="111">
        <f t="shared" si="11"/>
        <v>1210</v>
      </c>
      <c r="Q26" s="111">
        <f t="shared" si="11"/>
        <v>1230</v>
      </c>
      <c r="R26" s="111">
        <f t="shared" si="11"/>
        <v>1250</v>
      </c>
      <c r="S26" s="111">
        <f t="shared" si="11"/>
        <v>1270</v>
      </c>
      <c r="T26" s="111">
        <f t="shared" si="11"/>
        <v>1290</v>
      </c>
      <c r="U26" s="111">
        <f t="shared" si="11"/>
        <v>1310</v>
      </c>
      <c r="V26" s="111">
        <f t="shared" si="11"/>
        <v>1330</v>
      </c>
      <c r="W26" s="114">
        <f t="shared" ref="W26:AF35" si="12">unit_dps*(base_stat+W$25)*$B26</f>
        <v>1350</v>
      </c>
      <c r="X26" s="111">
        <f t="shared" si="12"/>
        <v>1370</v>
      </c>
      <c r="Y26" s="111">
        <f t="shared" si="12"/>
        <v>1390</v>
      </c>
      <c r="Z26" s="117">
        <f t="shared" si="12"/>
        <v>1410</v>
      </c>
      <c r="AA26" s="117">
        <f t="shared" si="12"/>
        <v>1430</v>
      </c>
      <c r="AB26" s="117">
        <f t="shared" si="12"/>
        <v>1450</v>
      </c>
      <c r="AC26" s="117">
        <f t="shared" si="12"/>
        <v>1470</v>
      </c>
      <c r="AD26" s="117">
        <f t="shared" si="12"/>
        <v>1490</v>
      </c>
      <c r="AE26" s="117">
        <f t="shared" si="12"/>
        <v>1510</v>
      </c>
      <c r="AF26" s="117">
        <f t="shared" si="12"/>
        <v>1529.9999999999998</v>
      </c>
      <c r="AG26" s="117">
        <f t="shared" ref="AG26:AP35" si="13">unit_dps*(base_stat+AG$25)*$B26</f>
        <v>1549.9999999999998</v>
      </c>
      <c r="AH26" s="117">
        <f t="shared" si="13"/>
        <v>1569.9999999999998</v>
      </c>
      <c r="AI26" s="117">
        <f t="shared" si="13"/>
        <v>1590</v>
      </c>
      <c r="AJ26" s="117">
        <f t="shared" si="13"/>
        <v>1610</v>
      </c>
      <c r="AK26" s="117">
        <f t="shared" si="13"/>
        <v>1630</v>
      </c>
      <c r="AL26" s="117">
        <f t="shared" si="13"/>
        <v>1650</v>
      </c>
      <c r="AM26" s="117">
        <f t="shared" si="13"/>
        <v>1670</v>
      </c>
      <c r="AN26" s="117">
        <f t="shared" si="13"/>
        <v>1690</v>
      </c>
      <c r="AO26" s="117">
        <f t="shared" si="13"/>
        <v>1710</v>
      </c>
      <c r="AP26" s="117">
        <f t="shared" si="13"/>
        <v>1730</v>
      </c>
      <c r="AQ26" s="117">
        <f t="shared" ref="AQ26:AZ35" si="14">unit_dps*(base_stat+AQ$25)*$B26</f>
        <v>1750</v>
      </c>
      <c r="AR26" s="117">
        <f t="shared" si="14"/>
        <v>1770</v>
      </c>
      <c r="AS26" s="117">
        <f t="shared" si="14"/>
        <v>1790</v>
      </c>
      <c r="AT26" s="117">
        <f t="shared" si="14"/>
        <v>1810</v>
      </c>
      <c r="AU26" s="117">
        <f t="shared" si="14"/>
        <v>1830</v>
      </c>
      <c r="AV26" s="117">
        <f t="shared" si="14"/>
        <v>1850</v>
      </c>
      <c r="AW26" s="117">
        <f t="shared" si="14"/>
        <v>1870</v>
      </c>
      <c r="AX26" s="117">
        <f t="shared" si="14"/>
        <v>1890</v>
      </c>
      <c r="AY26" s="117">
        <f t="shared" si="14"/>
        <v>1910</v>
      </c>
      <c r="AZ26" s="117">
        <f t="shared" si="14"/>
        <v>1930</v>
      </c>
    </row>
    <row r="27" spans="1:52" x14ac:dyDescent="0.2">
      <c r="A27" s="1">
        <v>2</v>
      </c>
      <c r="B27" s="113">
        <v>6</v>
      </c>
      <c r="C27" s="132">
        <f t="shared" si="10"/>
        <v>1140</v>
      </c>
      <c r="D27" s="132">
        <f t="shared" si="10"/>
        <v>1164</v>
      </c>
      <c r="E27" s="111">
        <f t="shared" si="10"/>
        <v>1188</v>
      </c>
      <c r="F27" s="111">
        <f t="shared" si="10"/>
        <v>1212</v>
      </c>
      <c r="G27" s="111">
        <f t="shared" si="10"/>
        <v>1236</v>
      </c>
      <c r="H27" s="111">
        <f t="shared" si="10"/>
        <v>1260</v>
      </c>
      <c r="I27" s="111">
        <f t="shared" si="10"/>
        <v>1283.9999999999998</v>
      </c>
      <c r="J27" s="111">
        <f t="shared" si="10"/>
        <v>1307.9999999999998</v>
      </c>
      <c r="K27" s="111">
        <f t="shared" si="10"/>
        <v>1331.9999999999998</v>
      </c>
      <c r="L27" s="111">
        <f t="shared" si="10"/>
        <v>1355.9999999999998</v>
      </c>
      <c r="M27" s="111">
        <f t="shared" si="11"/>
        <v>1379.9999999999998</v>
      </c>
      <c r="N27" s="111">
        <f t="shared" si="11"/>
        <v>1404</v>
      </c>
      <c r="O27" s="111">
        <f t="shared" si="11"/>
        <v>1428</v>
      </c>
      <c r="P27" s="111">
        <f t="shared" si="11"/>
        <v>1452</v>
      </c>
      <c r="Q27" s="111">
        <f t="shared" si="11"/>
        <v>1476</v>
      </c>
      <c r="R27" s="111">
        <f t="shared" si="11"/>
        <v>1500</v>
      </c>
      <c r="S27" s="111">
        <f t="shared" si="11"/>
        <v>1524</v>
      </c>
      <c r="T27" s="111">
        <f t="shared" si="11"/>
        <v>1548</v>
      </c>
      <c r="U27" s="111">
        <f t="shared" si="11"/>
        <v>1572</v>
      </c>
      <c r="V27" s="111">
        <f t="shared" si="11"/>
        <v>1596</v>
      </c>
      <c r="W27" s="111">
        <f t="shared" si="12"/>
        <v>1620</v>
      </c>
      <c r="X27" s="111">
        <f t="shared" si="12"/>
        <v>1644</v>
      </c>
      <c r="Y27" s="111">
        <f t="shared" si="12"/>
        <v>1668</v>
      </c>
      <c r="Z27" s="117">
        <f t="shared" si="12"/>
        <v>1692</v>
      </c>
      <c r="AA27" s="117">
        <f t="shared" si="12"/>
        <v>1716</v>
      </c>
      <c r="AB27" s="117">
        <f t="shared" si="12"/>
        <v>1740</v>
      </c>
      <c r="AC27" s="117">
        <f t="shared" si="12"/>
        <v>1764</v>
      </c>
      <c r="AD27" s="117">
        <f t="shared" si="12"/>
        <v>1788</v>
      </c>
      <c r="AE27" s="117">
        <f t="shared" si="12"/>
        <v>1812</v>
      </c>
      <c r="AF27" s="117">
        <f t="shared" si="12"/>
        <v>1835.9999999999995</v>
      </c>
      <c r="AG27" s="117">
        <f t="shared" si="13"/>
        <v>1859.9999999999995</v>
      </c>
      <c r="AH27" s="117">
        <f t="shared" si="13"/>
        <v>1883.9999999999995</v>
      </c>
      <c r="AI27" s="117">
        <f t="shared" si="13"/>
        <v>1908</v>
      </c>
      <c r="AJ27" s="117">
        <f t="shared" si="13"/>
        <v>1932</v>
      </c>
      <c r="AK27" s="117">
        <f t="shared" si="13"/>
        <v>1956</v>
      </c>
      <c r="AL27" s="117">
        <f t="shared" si="13"/>
        <v>1980</v>
      </c>
      <c r="AM27" s="117">
        <f t="shared" si="13"/>
        <v>2004</v>
      </c>
      <c r="AN27" s="117">
        <f t="shared" si="13"/>
        <v>2028</v>
      </c>
      <c r="AO27" s="117">
        <f t="shared" si="13"/>
        <v>2052</v>
      </c>
      <c r="AP27" s="117">
        <f t="shared" si="13"/>
        <v>2076</v>
      </c>
      <c r="AQ27" s="117">
        <f t="shared" si="14"/>
        <v>2100</v>
      </c>
      <c r="AR27" s="117">
        <f t="shared" si="14"/>
        <v>2124</v>
      </c>
      <c r="AS27" s="117">
        <f t="shared" si="14"/>
        <v>2148</v>
      </c>
      <c r="AT27" s="117">
        <f t="shared" si="14"/>
        <v>2172</v>
      </c>
      <c r="AU27" s="117">
        <f t="shared" si="14"/>
        <v>2196</v>
      </c>
      <c r="AV27" s="117">
        <f t="shared" si="14"/>
        <v>2220</v>
      </c>
      <c r="AW27" s="117">
        <f t="shared" si="14"/>
        <v>2244</v>
      </c>
      <c r="AX27" s="117">
        <f t="shared" si="14"/>
        <v>2268</v>
      </c>
      <c r="AY27" s="117">
        <f t="shared" si="14"/>
        <v>2292</v>
      </c>
      <c r="AZ27" s="117">
        <f t="shared" si="14"/>
        <v>2316</v>
      </c>
    </row>
    <row r="28" spans="1:52" x14ac:dyDescent="0.2">
      <c r="A28" s="1">
        <v>3</v>
      </c>
      <c r="B28" s="113">
        <v>7</v>
      </c>
      <c r="C28" s="132">
        <f t="shared" si="10"/>
        <v>1330</v>
      </c>
      <c r="D28" s="132">
        <f t="shared" si="10"/>
        <v>1358</v>
      </c>
      <c r="E28" s="132">
        <f t="shared" si="10"/>
        <v>1386</v>
      </c>
      <c r="F28" s="111">
        <f t="shared" si="10"/>
        <v>1414</v>
      </c>
      <c r="G28" s="111">
        <f t="shared" si="10"/>
        <v>1442</v>
      </c>
      <c r="H28" s="111">
        <f t="shared" si="10"/>
        <v>1470</v>
      </c>
      <c r="I28" s="111">
        <f t="shared" si="10"/>
        <v>1497.9999999999998</v>
      </c>
      <c r="J28" s="111">
        <f t="shared" si="10"/>
        <v>1525.9999999999998</v>
      </c>
      <c r="K28" s="111">
        <f t="shared" si="10"/>
        <v>1553.9999999999998</v>
      </c>
      <c r="L28" s="111">
        <f t="shared" si="10"/>
        <v>1581.9999999999998</v>
      </c>
      <c r="M28" s="111">
        <f t="shared" si="11"/>
        <v>1609.9999999999998</v>
      </c>
      <c r="N28" s="111">
        <f t="shared" si="11"/>
        <v>1638</v>
      </c>
      <c r="O28" s="111">
        <f t="shared" si="11"/>
        <v>1666</v>
      </c>
      <c r="P28" s="111">
        <f t="shared" si="11"/>
        <v>1694</v>
      </c>
      <c r="Q28" s="111">
        <f t="shared" si="11"/>
        <v>1722</v>
      </c>
      <c r="R28" s="111">
        <f t="shared" si="11"/>
        <v>1750</v>
      </c>
      <c r="S28" s="111">
        <f t="shared" si="11"/>
        <v>1778</v>
      </c>
      <c r="T28" s="111">
        <f t="shared" si="11"/>
        <v>1806</v>
      </c>
      <c r="U28" s="111">
        <f t="shared" si="11"/>
        <v>1834</v>
      </c>
      <c r="V28" s="111">
        <f t="shared" si="11"/>
        <v>1862</v>
      </c>
      <c r="W28" s="111">
        <f t="shared" si="12"/>
        <v>1890</v>
      </c>
      <c r="X28" s="111">
        <f t="shared" si="12"/>
        <v>1918</v>
      </c>
      <c r="Y28" s="111">
        <f t="shared" si="12"/>
        <v>1946</v>
      </c>
      <c r="Z28" s="117">
        <f t="shared" si="12"/>
        <v>1974</v>
      </c>
      <c r="AA28" s="117">
        <f t="shared" si="12"/>
        <v>2002</v>
      </c>
      <c r="AB28" s="117">
        <f t="shared" si="12"/>
        <v>2030</v>
      </c>
      <c r="AC28" s="117">
        <f t="shared" si="12"/>
        <v>2058</v>
      </c>
      <c r="AD28" s="117">
        <f t="shared" si="12"/>
        <v>2086</v>
      </c>
      <c r="AE28" s="117">
        <f t="shared" si="12"/>
        <v>2114</v>
      </c>
      <c r="AF28" s="117">
        <f t="shared" si="12"/>
        <v>2141.9999999999995</v>
      </c>
      <c r="AG28" s="117">
        <f t="shared" si="13"/>
        <v>2169.9999999999995</v>
      </c>
      <c r="AH28" s="117">
        <f t="shared" si="13"/>
        <v>2197.9999999999995</v>
      </c>
      <c r="AI28" s="117">
        <f t="shared" si="13"/>
        <v>2226</v>
      </c>
      <c r="AJ28" s="117">
        <f t="shared" si="13"/>
        <v>2254</v>
      </c>
      <c r="AK28" s="117">
        <f t="shared" si="13"/>
        <v>2282</v>
      </c>
      <c r="AL28" s="117">
        <f t="shared" si="13"/>
        <v>2310</v>
      </c>
      <c r="AM28" s="117">
        <f t="shared" si="13"/>
        <v>2338</v>
      </c>
      <c r="AN28" s="117">
        <f t="shared" si="13"/>
        <v>2366</v>
      </c>
      <c r="AO28" s="117">
        <f t="shared" si="13"/>
        <v>2394</v>
      </c>
      <c r="AP28" s="117">
        <f t="shared" si="13"/>
        <v>2422</v>
      </c>
      <c r="AQ28" s="117">
        <f t="shared" si="14"/>
        <v>2450</v>
      </c>
      <c r="AR28" s="117">
        <f t="shared" si="14"/>
        <v>2478</v>
      </c>
      <c r="AS28" s="117">
        <f t="shared" si="14"/>
        <v>2506</v>
      </c>
      <c r="AT28" s="117">
        <f t="shared" si="14"/>
        <v>2534</v>
      </c>
      <c r="AU28" s="117">
        <f t="shared" si="14"/>
        <v>2562</v>
      </c>
      <c r="AV28" s="117">
        <f t="shared" si="14"/>
        <v>2590</v>
      </c>
      <c r="AW28" s="117">
        <f t="shared" si="14"/>
        <v>2618</v>
      </c>
      <c r="AX28" s="117">
        <f t="shared" si="14"/>
        <v>2646</v>
      </c>
      <c r="AY28" s="117">
        <f t="shared" si="14"/>
        <v>2674</v>
      </c>
      <c r="AZ28" s="117">
        <f t="shared" si="14"/>
        <v>2702</v>
      </c>
    </row>
    <row r="29" spans="1:52" x14ac:dyDescent="0.2">
      <c r="A29" s="1">
        <v>4</v>
      </c>
      <c r="B29" s="113">
        <v>8</v>
      </c>
      <c r="C29" s="132">
        <f t="shared" si="10"/>
        <v>1520</v>
      </c>
      <c r="D29" s="132">
        <f t="shared" si="10"/>
        <v>1552</v>
      </c>
      <c r="E29" s="132">
        <f t="shared" si="10"/>
        <v>1584</v>
      </c>
      <c r="F29" s="132">
        <f t="shared" si="10"/>
        <v>1616</v>
      </c>
      <c r="G29" s="132">
        <f t="shared" si="10"/>
        <v>1648</v>
      </c>
      <c r="H29" s="111">
        <f t="shared" si="10"/>
        <v>1680</v>
      </c>
      <c r="I29" s="111">
        <f t="shared" si="10"/>
        <v>1711.9999999999998</v>
      </c>
      <c r="J29" s="111">
        <f t="shared" si="10"/>
        <v>1743.9999999999998</v>
      </c>
      <c r="K29" s="111">
        <f t="shared" si="10"/>
        <v>1775.9999999999998</v>
      </c>
      <c r="L29" s="111">
        <f t="shared" si="10"/>
        <v>1807.9999999999998</v>
      </c>
      <c r="M29" s="111">
        <f t="shared" si="11"/>
        <v>1839.9999999999998</v>
      </c>
      <c r="N29" s="111">
        <f t="shared" si="11"/>
        <v>1872</v>
      </c>
      <c r="O29" s="111">
        <f t="shared" si="11"/>
        <v>1904</v>
      </c>
      <c r="P29" s="111">
        <f t="shared" si="11"/>
        <v>1936</v>
      </c>
      <c r="Q29" s="111">
        <f t="shared" si="11"/>
        <v>1968</v>
      </c>
      <c r="R29" s="111">
        <f t="shared" si="11"/>
        <v>2000</v>
      </c>
      <c r="S29" s="111">
        <f t="shared" si="11"/>
        <v>2032</v>
      </c>
      <c r="T29" s="111">
        <f t="shared" si="11"/>
        <v>2064</v>
      </c>
      <c r="U29" s="111">
        <f t="shared" si="11"/>
        <v>2096</v>
      </c>
      <c r="V29" s="111">
        <f t="shared" si="11"/>
        <v>2128</v>
      </c>
      <c r="W29" s="111">
        <f t="shared" si="12"/>
        <v>2160</v>
      </c>
      <c r="X29" s="111">
        <f t="shared" si="12"/>
        <v>2192</v>
      </c>
      <c r="Y29" s="111">
        <f t="shared" si="12"/>
        <v>2224</v>
      </c>
      <c r="Z29" s="117">
        <f t="shared" si="12"/>
        <v>2256</v>
      </c>
      <c r="AA29" s="117">
        <f t="shared" si="12"/>
        <v>2288</v>
      </c>
      <c r="AB29" s="117">
        <f t="shared" si="12"/>
        <v>2320</v>
      </c>
      <c r="AC29" s="117">
        <f t="shared" si="12"/>
        <v>2352</v>
      </c>
      <c r="AD29" s="117">
        <f t="shared" si="12"/>
        <v>2384</v>
      </c>
      <c r="AE29" s="117">
        <f t="shared" si="12"/>
        <v>2416</v>
      </c>
      <c r="AF29" s="117">
        <f t="shared" si="12"/>
        <v>2447.9999999999995</v>
      </c>
      <c r="AG29" s="117">
        <f t="shared" si="13"/>
        <v>2479.9999999999995</v>
      </c>
      <c r="AH29" s="117">
        <f t="shared" si="13"/>
        <v>2511.9999999999995</v>
      </c>
      <c r="AI29" s="117">
        <f t="shared" si="13"/>
        <v>2544</v>
      </c>
      <c r="AJ29" s="117">
        <f t="shared" si="13"/>
        <v>2576</v>
      </c>
      <c r="AK29" s="117">
        <f t="shared" si="13"/>
        <v>2608</v>
      </c>
      <c r="AL29" s="117">
        <f t="shared" si="13"/>
        <v>2640</v>
      </c>
      <c r="AM29" s="117">
        <f t="shared" si="13"/>
        <v>2672</v>
      </c>
      <c r="AN29" s="117">
        <f t="shared" si="13"/>
        <v>2704</v>
      </c>
      <c r="AO29" s="117">
        <f t="shared" si="13"/>
        <v>2736</v>
      </c>
      <c r="AP29" s="117">
        <f t="shared" si="13"/>
        <v>2768</v>
      </c>
      <c r="AQ29" s="117">
        <f t="shared" si="14"/>
        <v>2800</v>
      </c>
      <c r="AR29" s="117">
        <f t="shared" si="14"/>
        <v>2832</v>
      </c>
      <c r="AS29" s="117">
        <f t="shared" si="14"/>
        <v>2864</v>
      </c>
      <c r="AT29" s="117">
        <f t="shared" si="14"/>
        <v>2896</v>
      </c>
      <c r="AU29" s="117">
        <f t="shared" si="14"/>
        <v>2928</v>
      </c>
      <c r="AV29" s="117">
        <f t="shared" si="14"/>
        <v>2960</v>
      </c>
      <c r="AW29" s="117">
        <f t="shared" si="14"/>
        <v>2992</v>
      </c>
      <c r="AX29" s="117">
        <f t="shared" si="14"/>
        <v>3024</v>
      </c>
      <c r="AY29" s="117">
        <f t="shared" si="14"/>
        <v>3056</v>
      </c>
      <c r="AZ29" s="117">
        <f t="shared" si="14"/>
        <v>3088</v>
      </c>
    </row>
    <row r="30" spans="1:52" x14ac:dyDescent="0.2">
      <c r="A30" s="1">
        <v>5</v>
      </c>
      <c r="B30" s="113">
        <v>9</v>
      </c>
      <c r="C30" s="132">
        <f t="shared" si="10"/>
        <v>1710</v>
      </c>
      <c r="D30" s="132">
        <f t="shared" si="10"/>
        <v>1746</v>
      </c>
      <c r="E30" s="132">
        <f t="shared" si="10"/>
        <v>1782</v>
      </c>
      <c r="F30" s="132">
        <f t="shared" si="10"/>
        <v>1818</v>
      </c>
      <c r="G30" s="132">
        <f t="shared" si="10"/>
        <v>1854</v>
      </c>
      <c r="H30" s="132">
        <f t="shared" si="10"/>
        <v>1890</v>
      </c>
      <c r="I30" s="111">
        <f t="shared" si="10"/>
        <v>1925.9999999999998</v>
      </c>
      <c r="J30" s="111">
        <f t="shared" si="10"/>
        <v>1961.9999999999998</v>
      </c>
      <c r="K30" s="111">
        <f t="shared" si="10"/>
        <v>1997.9999999999998</v>
      </c>
      <c r="L30" s="111">
        <f t="shared" si="10"/>
        <v>2033.9999999999998</v>
      </c>
      <c r="M30" s="111">
        <f t="shared" si="11"/>
        <v>2069.9999999999995</v>
      </c>
      <c r="N30" s="111">
        <f t="shared" si="11"/>
        <v>2106</v>
      </c>
      <c r="O30" s="111">
        <f t="shared" si="11"/>
        <v>2142</v>
      </c>
      <c r="P30" s="111">
        <f t="shared" si="11"/>
        <v>2178</v>
      </c>
      <c r="Q30" s="111">
        <f t="shared" si="11"/>
        <v>2214</v>
      </c>
      <c r="R30" s="111">
        <f t="shared" si="11"/>
        <v>2250</v>
      </c>
      <c r="S30" s="111">
        <f t="shared" si="11"/>
        <v>2286</v>
      </c>
      <c r="T30" s="111">
        <f t="shared" si="11"/>
        <v>2322</v>
      </c>
      <c r="U30" s="111">
        <f t="shared" si="11"/>
        <v>2358</v>
      </c>
      <c r="V30" s="111">
        <f t="shared" si="11"/>
        <v>2394</v>
      </c>
      <c r="W30" s="111">
        <f t="shared" si="12"/>
        <v>2430</v>
      </c>
      <c r="X30" s="111">
        <f t="shared" si="12"/>
        <v>2466</v>
      </c>
      <c r="Y30" s="111">
        <f t="shared" si="12"/>
        <v>2502</v>
      </c>
      <c r="Z30" s="117">
        <f t="shared" si="12"/>
        <v>2538</v>
      </c>
      <c r="AA30" s="117">
        <f t="shared" si="12"/>
        <v>2574</v>
      </c>
      <c r="AB30" s="117">
        <f t="shared" si="12"/>
        <v>2610</v>
      </c>
      <c r="AC30" s="117">
        <f t="shared" si="12"/>
        <v>2646</v>
      </c>
      <c r="AD30" s="117">
        <f t="shared" si="12"/>
        <v>2682</v>
      </c>
      <c r="AE30" s="117">
        <f t="shared" si="12"/>
        <v>2718</v>
      </c>
      <c r="AF30" s="117">
        <f t="shared" si="12"/>
        <v>2753.9999999999995</v>
      </c>
      <c r="AG30" s="117">
        <f t="shared" si="13"/>
        <v>2789.9999999999995</v>
      </c>
      <c r="AH30" s="117">
        <f t="shared" si="13"/>
        <v>2825.9999999999995</v>
      </c>
      <c r="AI30" s="117">
        <f t="shared" si="13"/>
        <v>2862</v>
      </c>
      <c r="AJ30" s="117">
        <f t="shared" si="13"/>
        <v>2898</v>
      </c>
      <c r="AK30" s="117">
        <f t="shared" si="13"/>
        <v>2934</v>
      </c>
      <c r="AL30" s="117">
        <f t="shared" si="13"/>
        <v>2970</v>
      </c>
      <c r="AM30" s="117">
        <f t="shared" si="13"/>
        <v>3006</v>
      </c>
      <c r="AN30" s="117">
        <f t="shared" si="13"/>
        <v>3042</v>
      </c>
      <c r="AO30" s="117">
        <f t="shared" si="13"/>
        <v>3078</v>
      </c>
      <c r="AP30" s="117">
        <f t="shared" si="13"/>
        <v>3114</v>
      </c>
      <c r="AQ30" s="117">
        <f t="shared" si="14"/>
        <v>3150</v>
      </c>
      <c r="AR30" s="117">
        <f t="shared" si="14"/>
        <v>3186</v>
      </c>
      <c r="AS30" s="117">
        <f t="shared" si="14"/>
        <v>3222</v>
      </c>
      <c r="AT30" s="117">
        <f t="shared" si="14"/>
        <v>3258</v>
      </c>
      <c r="AU30" s="117">
        <f t="shared" si="14"/>
        <v>3294</v>
      </c>
      <c r="AV30" s="117">
        <f t="shared" si="14"/>
        <v>3330</v>
      </c>
      <c r="AW30" s="117">
        <f t="shared" si="14"/>
        <v>3366</v>
      </c>
      <c r="AX30" s="117">
        <f t="shared" si="14"/>
        <v>3402</v>
      </c>
      <c r="AY30" s="117">
        <f t="shared" si="14"/>
        <v>3438</v>
      </c>
      <c r="AZ30" s="117">
        <f t="shared" si="14"/>
        <v>3474</v>
      </c>
    </row>
    <row r="31" spans="1:52" x14ac:dyDescent="0.2">
      <c r="A31" s="1">
        <v>6</v>
      </c>
      <c r="B31" s="113">
        <v>10</v>
      </c>
      <c r="C31" s="132">
        <f t="shared" si="10"/>
        <v>1900</v>
      </c>
      <c r="D31" s="132">
        <f t="shared" si="10"/>
        <v>1940</v>
      </c>
      <c r="E31" s="132">
        <f t="shared" si="10"/>
        <v>1980</v>
      </c>
      <c r="F31" s="132">
        <f t="shared" si="10"/>
        <v>2020</v>
      </c>
      <c r="G31" s="132">
        <f t="shared" si="10"/>
        <v>2060</v>
      </c>
      <c r="H31" s="132">
        <f t="shared" si="10"/>
        <v>2100</v>
      </c>
      <c r="I31" s="132">
        <f t="shared" si="10"/>
        <v>2139.9999999999995</v>
      </c>
      <c r="J31" s="132">
        <f t="shared" si="10"/>
        <v>2179.9999999999995</v>
      </c>
      <c r="K31" s="111">
        <f t="shared" si="10"/>
        <v>2219.9999999999995</v>
      </c>
      <c r="L31" s="111">
        <f t="shared" si="10"/>
        <v>2259.9999999999995</v>
      </c>
      <c r="M31" s="111">
        <f t="shared" si="11"/>
        <v>2299.9999999999995</v>
      </c>
      <c r="N31" s="111">
        <f t="shared" si="11"/>
        <v>2340</v>
      </c>
      <c r="O31" s="111">
        <f t="shared" si="11"/>
        <v>2380</v>
      </c>
      <c r="P31" s="111">
        <f t="shared" si="11"/>
        <v>2420</v>
      </c>
      <c r="Q31" s="111">
        <f t="shared" si="11"/>
        <v>2460</v>
      </c>
      <c r="R31" s="111">
        <f t="shared" si="11"/>
        <v>2500</v>
      </c>
      <c r="S31" s="111">
        <f t="shared" si="11"/>
        <v>2540</v>
      </c>
      <c r="T31" s="111">
        <f t="shared" si="11"/>
        <v>2580</v>
      </c>
      <c r="U31" s="111">
        <f t="shared" si="11"/>
        <v>2620</v>
      </c>
      <c r="V31" s="111">
        <f t="shared" si="11"/>
        <v>2660</v>
      </c>
      <c r="W31" s="111">
        <f t="shared" si="12"/>
        <v>2700</v>
      </c>
      <c r="X31" s="111">
        <f t="shared" si="12"/>
        <v>2740</v>
      </c>
      <c r="Y31" s="111">
        <f t="shared" si="12"/>
        <v>2780</v>
      </c>
      <c r="Z31" s="117">
        <f t="shared" si="12"/>
        <v>2820</v>
      </c>
      <c r="AA31" s="117">
        <f t="shared" si="12"/>
        <v>2860</v>
      </c>
      <c r="AB31" s="117">
        <f t="shared" si="12"/>
        <v>2900</v>
      </c>
      <c r="AC31" s="117">
        <f t="shared" si="12"/>
        <v>2940</v>
      </c>
      <c r="AD31" s="117">
        <f t="shared" si="12"/>
        <v>2980</v>
      </c>
      <c r="AE31" s="117">
        <f t="shared" si="12"/>
        <v>3020</v>
      </c>
      <c r="AF31" s="117">
        <f t="shared" si="12"/>
        <v>3059.9999999999995</v>
      </c>
      <c r="AG31" s="117">
        <f t="shared" si="13"/>
        <v>3099.9999999999995</v>
      </c>
      <c r="AH31" s="117">
        <f t="shared" si="13"/>
        <v>3139.9999999999995</v>
      </c>
      <c r="AI31" s="117">
        <f t="shared" si="13"/>
        <v>3180</v>
      </c>
      <c r="AJ31" s="117">
        <f t="shared" si="13"/>
        <v>3220</v>
      </c>
      <c r="AK31" s="117">
        <f t="shared" si="13"/>
        <v>3260</v>
      </c>
      <c r="AL31" s="117">
        <f t="shared" si="13"/>
        <v>3300</v>
      </c>
      <c r="AM31" s="117">
        <f t="shared" si="13"/>
        <v>3340</v>
      </c>
      <c r="AN31" s="117">
        <f t="shared" si="13"/>
        <v>3380</v>
      </c>
      <c r="AO31" s="117">
        <f t="shared" si="13"/>
        <v>3420</v>
      </c>
      <c r="AP31" s="117">
        <f t="shared" si="13"/>
        <v>3460</v>
      </c>
      <c r="AQ31" s="117">
        <f t="shared" si="14"/>
        <v>3500</v>
      </c>
      <c r="AR31" s="117">
        <f t="shared" si="14"/>
        <v>3540</v>
      </c>
      <c r="AS31" s="117">
        <f t="shared" si="14"/>
        <v>3580</v>
      </c>
      <c r="AT31" s="117">
        <f t="shared" si="14"/>
        <v>3620</v>
      </c>
      <c r="AU31" s="117">
        <f t="shared" si="14"/>
        <v>3660</v>
      </c>
      <c r="AV31" s="117">
        <f t="shared" si="14"/>
        <v>3700</v>
      </c>
      <c r="AW31" s="117">
        <f t="shared" si="14"/>
        <v>3740</v>
      </c>
      <c r="AX31" s="117">
        <f t="shared" si="14"/>
        <v>3780</v>
      </c>
      <c r="AY31" s="117">
        <f t="shared" si="14"/>
        <v>3820</v>
      </c>
      <c r="AZ31" s="117">
        <f t="shared" si="14"/>
        <v>3860</v>
      </c>
    </row>
    <row r="32" spans="1:52" x14ac:dyDescent="0.2">
      <c r="A32" s="1">
        <v>7</v>
      </c>
      <c r="B32" s="113">
        <v>11</v>
      </c>
      <c r="C32" s="132">
        <f t="shared" si="10"/>
        <v>2090</v>
      </c>
      <c r="D32" s="132">
        <f t="shared" si="10"/>
        <v>2134</v>
      </c>
      <c r="E32" s="132">
        <f t="shared" si="10"/>
        <v>2178</v>
      </c>
      <c r="F32" s="132">
        <f t="shared" si="10"/>
        <v>2222</v>
      </c>
      <c r="G32" s="132">
        <f t="shared" si="10"/>
        <v>2266</v>
      </c>
      <c r="H32" s="132">
        <f t="shared" si="10"/>
        <v>2310</v>
      </c>
      <c r="I32" s="132">
        <f t="shared" si="10"/>
        <v>2353.9999999999995</v>
      </c>
      <c r="J32" s="132">
        <f t="shared" si="10"/>
        <v>2397.9999999999995</v>
      </c>
      <c r="K32" s="132">
        <f t="shared" si="10"/>
        <v>2441.9999999999995</v>
      </c>
      <c r="L32" s="114">
        <f t="shared" si="10"/>
        <v>2485.9999999999995</v>
      </c>
      <c r="M32" s="111">
        <f t="shared" si="11"/>
        <v>2529.9999999999995</v>
      </c>
      <c r="N32" s="111">
        <f t="shared" si="11"/>
        <v>2574</v>
      </c>
      <c r="O32" s="111">
        <f t="shared" si="11"/>
        <v>2618</v>
      </c>
      <c r="P32" s="111">
        <f t="shared" si="11"/>
        <v>2662</v>
      </c>
      <c r="Q32" s="111">
        <f t="shared" si="11"/>
        <v>2706</v>
      </c>
      <c r="R32" s="111">
        <f t="shared" si="11"/>
        <v>2750</v>
      </c>
      <c r="S32" s="111">
        <f t="shared" si="11"/>
        <v>2794</v>
      </c>
      <c r="T32" s="111">
        <f t="shared" si="11"/>
        <v>2838</v>
      </c>
      <c r="U32" s="111">
        <f t="shared" si="11"/>
        <v>2882</v>
      </c>
      <c r="V32" s="111">
        <f t="shared" si="11"/>
        <v>2926</v>
      </c>
      <c r="W32" s="111">
        <f t="shared" si="12"/>
        <v>2970</v>
      </c>
      <c r="X32" s="111">
        <f t="shared" si="12"/>
        <v>3014</v>
      </c>
      <c r="Y32" s="111">
        <f t="shared" si="12"/>
        <v>3058</v>
      </c>
      <c r="Z32" s="117">
        <f t="shared" si="12"/>
        <v>3102</v>
      </c>
      <c r="AA32" s="117">
        <f t="shared" si="12"/>
        <v>3146</v>
      </c>
      <c r="AB32" s="117">
        <f t="shared" si="12"/>
        <v>3190</v>
      </c>
      <c r="AC32" s="117">
        <f t="shared" si="12"/>
        <v>3234</v>
      </c>
      <c r="AD32" s="117">
        <f t="shared" si="12"/>
        <v>3278</v>
      </c>
      <c r="AE32" s="117">
        <f t="shared" si="12"/>
        <v>3322</v>
      </c>
      <c r="AF32" s="117">
        <f t="shared" si="12"/>
        <v>3365.9999999999995</v>
      </c>
      <c r="AG32" s="117">
        <f t="shared" si="13"/>
        <v>3409.9999999999995</v>
      </c>
      <c r="AH32" s="117">
        <f t="shared" si="13"/>
        <v>3453.9999999999995</v>
      </c>
      <c r="AI32" s="117">
        <f t="shared" si="13"/>
        <v>3498</v>
      </c>
      <c r="AJ32" s="117">
        <f t="shared" si="13"/>
        <v>3542</v>
      </c>
      <c r="AK32" s="117">
        <f t="shared" si="13"/>
        <v>3586</v>
      </c>
      <c r="AL32" s="117">
        <f t="shared" si="13"/>
        <v>3630</v>
      </c>
      <c r="AM32" s="117">
        <f t="shared" si="13"/>
        <v>3674</v>
      </c>
      <c r="AN32" s="117">
        <f t="shared" si="13"/>
        <v>3718</v>
      </c>
      <c r="AO32" s="117">
        <f t="shared" si="13"/>
        <v>3762</v>
      </c>
      <c r="AP32" s="117">
        <f t="shared" si="13"/>
        <v>3806</v>
      </c>
      <c r="AQ32" s="117">
        <f t="shared" si="14"/>
        <v>3850</v>
      </c>
      <c r="AR32" s="117">
        <f t="shared" si="14"/>
        <v>3894</v>
      </c>
      <c r="AS32" s="117">
        <f t="shared" si="14"/>
        <v>3938</v>
      </c>
      <c r="AT32" s="117">
        <f t="shared" si="14"/>
        <v>3982</v>
      </c>
      <c r="AU32" s="117">
        <f t="shared" si="14"/>
        <v>4026</v>
      </c>
      <c r="AV32" s="117">
        <f t="shared" si="14"/>
        <v>4070</v>
      </c>
      <c r="AW32" s="117">
        <f t="shared" si="14"/>
        <v>4114</v>
      </c>
      <c r="AX32" s="117">
        <f t="shared" si="14"/>
        <v>4158</v>
      </c>
      <c r="AY32" s="117">
        <f t="shared" si="14"/>
        <v>4202</v>
      </c>
      <c r="AZ32" s="117">
        <f t="shared" si="14"/>
        <v>4246</v>
      </c>
    </row>
    <row r="33" spans="1:52" x14ac:dyDescent="0.2">
      <c r="A33" s="1">
        <v>8</v>
      </c>
      <c r="B33" s="113">
        <v>12</v>
      </c>
      <c r="C33" s="132">
        <f t="shared" si="10"/>
        <v>2280</v>
      </c>
      <c r="D33" s="132">
        <f t="shared" si="10"/>
        <v>2328</v>
      </c>
      <c r="E33" s="132">
        <f t="shared" si="10"/>
        <v>2376</v>
      </c>
      <c r="F33" s="132">
        <f t="shared" si="10"/>
        <v>2424</v>
      </c>
      <c r="G33" s="132">
        <f t="shared" si="10"/>
        <v>2472</v>
      </c>
      <c r="H33" s="132">
        <f t="shared" si="10"/>
        <v>2520</v>
      </c>
      <c r="I33" s="132">
        <f t="shared" si="10"/>
        <v>2567.9999999999995</v>
      </c>
      <c r="J33" s="132">
        <f t="shared" si="10"/>
        <v>2615.9999999999995</v>
      </c>
      <c r="K33" s="132">
        <f t="shared" si="10"/>
        <v>2663.9999999999995</v>
      </c>
      <c r="L33" s="115">
        <f t="shared" si="10"/>
        <v>2711.9999999999995</v>
      </c>
      <c r="M33" s="132">
        <f t="shared" si="11"/>
        <v>2759.9999999999995</v>
      </c>
      <c r="N33" s="111">
        <f t="shared" si="11"/>
        <v>2808</v>
      </c>
      <c r="O33" s="111">
        <f t="shared" si="11"/>
        <v>2856</v>
      </c>
      <c r="P33" s="111">
        <f t="shared" si="11"/>
        <v>2904</v>
      </c>
      <c r="Q33" s="111">
        <f t="shared" si="11"/>
        <v>2952</v>
      </c>
      <c r="R33" s="111">
        <f t="shared" si="11"/>
        <v>3000</v>
      </c>
      <c r="S33" s="111">
        <f t="shared" si="11"/>
        <v>3048</v>
      </c>
      <c r="T33" s="111">
        <f t="shared" si="11"/>
        <v>3096</v>
      </c>
      <c r="U33" s="111">
        <f t="shared" si="11"/>
        <v>3144</v>
      </c>
      <c r="V33" s="111">
        <f t="shared" si="11"/>
        <v>3192</v>
      </c>
      <c r="W33" s="111">
        <f t="shared" si="12"/>
        <v>3240</v>
      </c>
      <c r="X33" s="111">
        <f t="shared" si="12"/>
        <v>3288</v>
      </c>
      <c r="Y33" s="111">
        <f t="shared" si="12"/>
        <v>3336</v>
      </c>
      <c r="Z33" s="117">
        <f t="shared" si="12"/>
        <v>3384</v>
      </c>
      <c r="AA33" s="117">
        <f t="shared" si="12"/>
        <v>3432</v>
      </c>
      <c r="AB33" s="117">
        <f t="shared" si="12"/>
        <v>3480</v>
      </c>
      <c r="AC33" s="117">
        <f t="shared" si="12"/>
        <v>3528</v>
      </c>
      <c r="AD33" s="117">
        <f t="shared" si="12"/>
        <v>3576</v>
      </c>
      <c r="AE33" s="117">
        <f t="shared" si="12"/>
        <v>3624</v>
      </c>
      <c r="AF33" s="117">
        <f t="shared" si="12"/>
        <v>3671.9999999999991</v>
      </c>
      <c r="AG33" s="117">
        <f t="shared" si="13"/>
        <v>3719.9999999999991</v>
      </c>
      <c r="AH33" s="117">
        <f t="shared" si="13"/>
        <v>3767.9999999999991</v>
      </c>
      <c r="AI33" s="117">
        <f t="shared" si="13"/>
        <v>3816</v>
      </c>
      <c r="AJ33" s="117">
        <f t="shared" si="13"/>
        <v>3864</v>
      </c>
      <c r="AK33" s="117">
        <f t="shared" si="13"/>
        <v>3912</v>
      </c>
      <c r="AL33" s="117">
        <f t="shared" si="13"/>
        <v>3960</v>
      </c>
      <c r="AM33" s="117">
        <f t="shared" si="13"/>
        <v>4008</v>
      </c>
      <c r="AN33" s="117">
        <f t="shared" si="13"/>
        <v>4056</v>
      </c>
      <c r="AO33" s="117">
        <f t="shared" si="13"/>
        <v>4104</v>
      </c>
      <c r="AP33" s="117">
        <f t="shared" si="13"/>
        <v>4152</v>
      </c>
      <c r="AQ33" s="117">
        <f t="shared" si="14"/>
        <v>4200</v>
      </c>
      <c r="AR33" s="117">
        <f t="shared" si="14"/>
        <v>4248</v>
      </c>
      <c r="AS33" s="117">
        <f t="shared" si="14"/>
        <v>4296</v>
      </c>
      <c r="AT33" s="117">
        <f t="shared" si="14"/>
        <v>4344</v>
      </c>
      <c r="AU33" s="117">
        <f t="shared" si="14"/>
        <v>4392</v>
      </c>
      <c r="AV33" s="117">
        <f t="shared" si="14"/>
        <v>4440</v>
      </c>
      <c r="AW33" s="117">
        <f t="shared" si="14"/>
        <v>4488</v>
      </c>
      <c r="AX33" s="117">
        <f t="shared" si="14"/>
        <v>4536</v>
      </c>
      <c r="AY33" s="117">
        <f t="shared" si="14"/>
        <v>4584</v>
      </c>
      <c r="AZ33" s="117">
        <f t="shared" si="14"/>
        <v>4632</v>
      </c>
    </row>
    <row r="34" spans="1:52" x14ac:dyDescent="0.2">
      <c r="A34" s="1">
        <v>9</v>
      </c>
      <c r="B34" s="113">
        <v>13</v>
      </c>
      <c r="C34" s="132">
        <f t="shared" si="10"/>
        <v>2470</v>
      </c>
      <c r="D34" s="132">
        <f t="shared" si="10"/>
        <v>2522</v>
      </c>
      <c r="E34" s="132">
        <f t="shared" si="10"/>
        <v>2574</v>
      </c>
      <c r="F34" s="132">
        <f t="shared" si="10"/>
        <v>2626</v>
      </c>
      <c r="G34" s="132">
        <f t="shared" si="10"/>
        <v>2678</v>
      </c>
      <c r="H34" s="132">
        <f t="shared" si="10"/>
        <v>2730</v>
      </c>
      <c r="I34" s="132">
        <f t="shared" si="10"/>
        <v>2781.9999999999995</v>
      </c>
      <c r="J34" s="132">
        <f t="shared" si="10"/>
        <v>2833.9999999999995</v>
      </c>
      <c r="K34" s="132">
        <f t="shared" si="10"/>
        <v>2885.9999999999995</v>
      </c>
      <c r="L34" s="132">
        <f t="shared" si="10"/>
        <v>2937.9999999999995</v>
      </c>
      <c r="M34" s="132">
        <f t="shared" si="11"/>
        <v>2989.9999999999995</v>
      </c>
      <c r="N34" s="132">
        <f t="shared" si="11"/>
        <v>3042</v>
      </c>
      <c r="O34" s="111">
        <f t="shared" si="11"/>
        <v>3094</v>
      </c>
      <c r="P34" s="111">
        <f t="shared" si="11"/>
        <v>3146</v>
      </c>
      <c r="Q34" s="111">
        <f t="shared" si="11"/>
        <v>3198</v>
      </c>
      <c r="R34" s="111">
        <f t="shared" si="11"/>
        <v>3250</v>
      </c>
      <c r="S34" s="111">
        <f t="shared" si="11"/>
        <v>3302</v>
      </c>
      <c r="T34" s="111">
        <f t="shared" si="11"/>
        <v>3354</v>
      </c>
      <c r="U34" s="111">
        <f t="shared" si="11"/>
        <v>3406</v>
      </c>
      <c r="V34" s="111">
        <f t="shared" si="11"/>
        <v>3458</v>
      </c>
      <c r="W34" s="111">
        <f t="shared" si="12"/>
        <v>3510</v>
      </c>
      <c r="X34" s="111">
        <f t="shared" si="12"/>
        <v>3562</v>
      </c>
      <c r="Y34" s="111">
        <f t="shared" si="12"/>
        <v>3614</v>
      </c>
      <c r="Z34" s="117">
        <f t="shared" si="12"/>
        <v>3666</v>
      </c>
      <c r="AA34" s="117">
        <f t="shared" si="12"/>
        <v>3718</v>
      </c>
      <c r="AB34" s="117">
        <f t="shared" si="12"/>
        <v>3770</v>
      </c>
      <c r="AC34" s="117">
        <f t="shared" si="12"/>
        <v>3822</v>
      </c>
      <c r="AD34" s="117">
        <f t="shared" si="12"/>
        <v>3874</v>
      </c>
      <c r="AE34" s="117">
        <f t="shared" si="12"/>
        <v>3926</v>
      </c>
      <c r="AF34" s="117">
        <f t="shared" si="12"/>
        <v>3977.9999999999991</v>
      </c>
      <c r="AG34" s="117">
        <f t="shared" si="13"/>
        <v>4029.9999999999991</v>
      </c>
      <c r="AH34" s="117">
        <f t="shared" si="13"/>
        <v>4081.9999999999991</v>
      </c>
      <c r="AI34" s="117">
        <f t="shared" si="13"/>
        <v>4134</v>
      </c>
      <c r="AJ34" s="117">
        <f t="shared" si="13"/>
        <v>4186</v>
      </c>
      <c r="AK34" s="117">
        <f t="shared" si="13"/>
        <v>4238</v>
      </c>
      <c r="AL34" s="117">
        <f t="shared" si="13"/>
        <v>4290</v>
      </c>
      <c r="AM34" s="117">
        <f t="shared" si="13"/>
        <v>4342</v>
      </c>
      <c r="AN34" s="117">
        <f t="shared" si="13"/>
        <v>4394</v>
      </c>
      <c r="AO34" s="117">
        <f t="shared" si="13"/>
        <v>4446</v>
      </c>
      <c r="AP34" s="117">
        <f t="shared" si="13"/>
        <v>4498</v>
      </c>
      <c r="AQ34" s="117">
        <f t="shared" si="14"/>
        <v>4550</v>
      </c>
      <c r="AR34" s="117">
        <f t="shared" si="14"/>
        <v>4602</v>
      </c>
      <c r="AS34" s="117">
        <f t="shared" si="14"/>
        <v>4654</v>
      </c>
      <c r="AT34" s="117">
        <f t="shared" si="14"/>
        <v>4706</v>
      </c>
      <c r="AU34" s="117">
        <f t="shared" si="14"/>
        <v>4758</v>
      </c>
      <c r="AV34" s="117">
        <f t="shared" si="14"/>
        <v>4810</v>
      </c>
      <c r="AW34" s="117">
        <f t="shared" si="14"/>
        <v>4862</v>
      </c>
      <c r="AX34" s="117">
        <f t="shared" si="14"/>
        <v>4914</v>
      </c>
      <c r="AY34" s="117">
        <f t="shared" si="14"/>
        <v>4966</v>
      </c>
      <c r="AZ34" s="117">
        <f t="shared" si="14"/>
        <v>5018</v>
      </c>
    </row>
    <row r="35" spans="1:52" x14ac:dyDescent="0.2">
      <c r="A35" s="1">
        <v>10</v>
      </c>
      <c r="B35" s="113">
        <v>14</v>
      </c>
      <c r="C35" s="132">
        <f t="shared" si="10"/>
        <v>2660</v>
      </c>
      <c r="D35" s="132">
        <f t="shared" si="10"/>
        <v>2716</v>
      </c>
      <c r="E35" s="132">
        <f t="shared" si="10"/>
        <v>2772</v>
      </c>
      <c r="F35" s="132">
        <f t="shared" si="10"/>
        <v>2828</v>
      </c>
      <c r="G35" s="132">
        <f t="shared" si="10"/>
        <v>2884</v>
      </c>
      <c r="H35" s="132">
        <f t="shared" si="10"/>
        <v>2940</v>
      </c>
      <c r="I35" s="132">
        <f t="shared" si="10"/>
        <v>2995.9999999999995</v>
      </c>
      <c r="J35" s="132">
        <f t="shared" si="10"/>
        <v>3051.9999999999995</v>
      </c>
      <c r="K35" s="132">
        <f t="shared" si="10"/>
        <v>3107.9999999999995</v>
      </c>
      <c r="L35" s="132">
        <f t="shared" si="10"/>
        <v>3163.9999999999995</v>
      </c>
      <c r="M35" s="132">
        <f t="shared" si="11"/>
        <v>3219.9999999999995</v>
      </c>
      <c r="N35" s="132">
        <f t="shared" si="11"/>
        <v>3276</v>
      </c>
      <c r="O35" s="132">
        <f t="shared" si="11"/>
        <v>3332</v>
      </c>
      <c r="P35" s="132">
        <f t="shared" si="11"/>
        <v>3388</v>
      </c>
      <c r="Q35" s="111">
        <f t="shared" si="11"/>
        <v>3444</v>
      </c>
      <c r="R35" s="111">
        <f t="shared" si="11"/>
        <v>3500</v>
      </c>
      <c r="S35" s="111">
        <f t="shared" si="11"/>
        <v>3556</v>
      </c>
      <c r="T35" s="111">
        <f t="shared" si="11"/>
        <v>3612</v>
      </c>
      <c r="U35" s="111">
        <f t="shared" si="11"/>
        <v>3668</v>
      </c>
      <c r="V35" s="111">
        <f t="shared" si="11"/>
        <v>3724</v>
      </c>
      <c r="W35" s="111">
        <f t="shared" si="12"/>
        <v>3780</v>
      </c>
      <c r="X35" s="111">
        <f t="shared" si="12"/>
        <v>3836</v>
      </c>
      <c r="Y35" s="111">
        <f t="shared" si="12"/>
        <v>3892</v>
      </c>
      <c r="Z35" s="117">
        <f t="shared" si="12"/>
        <v>3948</v>
      </c>
      <c r="AA35" s="117">
        <f t="shared" si="12"/>
        <v>4004</v>
      </c>
      <c r="AB35" s="117">
        <f t="shared" si="12"/>
        <v>4060</v>
      </c>
      <c r="AC35" s="117">
        <f t="shared" si="12"/>
        <v>4116</v>
      </c>
      <c r="AD35" s="117">
        <f t="shared" si="12"/>
        <v>4172</v>
      </c>
      <c r="AE35" s="117">
        <f t="shared" si="12"/>
        <v>4228</v>
      </c>
      <c r="AF35" s="117">
        <f t="shared" si="12"/>
        <v>4283.9999999999991</v>
      </c>
      <c r="AG35" s="117">
        <f t="shared" si="13"/>
        <v>4339.9999999999991</v>
      </c>
      <c r="AH35" s="117">
        <f t="shared" si="13"/>
        <v>4395.9999999999991</v>
      </c>
      <c r="AI35" s="117">
        <f t="shared" si="13"/>
        <v>4452</v>
      </c>
      <c r="AJ35" s="117">
        <f t="shared" si="13"/>
        <v>4508</v>
      </c>
      <c r="AK35" s="117">
        <f t="shared" si="13"/>
        <v>4564</v>
      </c>
      <c r="AL35" s="117">
        <f t="shared" si="13"/>
        <v>4620</v>
      </c>
      <c r="AM35" s="117">
        <f t="shared" si="13"/>
        <v>4676</v>
      </c>
      <c r="AN35" s="117">
        <f t="shared" si="13"/>
        <v>4732</v>
      </c>
      <c r="AO35" s="117">
        <f t="shared" si="13"/>
        <v>4788</v>
      </c>
      <c r="AP35" s="117">
        <f t="shared" si="13"/>
        <v>4844</v>
      </c>
      <c r="AQ35" s="117">
        <f t="shared" si="14"/>
        <v>4900</v>
      </c>
      <c r="AR35" s="117">
        <f t="shared" si="14"/>
        <v>4956</v>
      </c>
      <c r="AS35" s="117">
        <f t="shared" si="14"/>
        <v>5012</v>
      </c>
      <c r="AT35" s="117">
        <f t="shared" si="14"/>
        <v>5068</v>
      </c>
      <c r="AU35" s="117">
        <f t="shared" si="14"/>
        <v>5124</v>
      </c>
      <c r="AV35" s="117">
        <f t="shared" si="14"/>
        <v>5180</v>
      </c>
      <c r="AW35" s="117">
        <f t="shared" si="14"/>
        <v>5236</v>
      </c>
      <c r="AX35" s="117">
        <f t="shared" si="14"/>
        <v>5292</v>
      </c>
      <c r="AY35" s="117">
        <f t="shared" si="14"/>
        <v>5348</v>
      </c>
      <c r="AZ35" s="117">
        <f t="shared" si="14"/>
        <v>5404</v>
      </c>
    </row>
    <row r="36" spans="1:52" x14ac:dyDescent="0.2">
      <c r="A36" s="1">
        <v>11</v>
      </c>
      <c r="B36" s="113">
        <v>15</v>
      </c>
      <c r="C36" s="132">
        <f t="shared" ref="C36:L41" si="15">unit_dps*(base_stat+C$25)*$B36</f>
        <v>2850</v>
      </c>
      <c r="D36" s="132">
        <f t="shared" si="15"/>
        <v>2910</v>
      </c>
      <c r="E36" s="132">
        <f t="shared" si="15"/>
        <v>2970</v>
      </c>
      <c r="F36" s="132">
        <f t="shared" si="15"/>
        <v>3030</v>
      </c>
      <c r="G36" s="132">
        <f t="shared" si="15"/>
        <v>3090</v>
      </c>
      <c r="H36" s="132">
        <f t="shared" si="15"/>
        <v>3150</v>
      </c>
      <c r="I36" s="132">
        <f t="shared" si="15"/>
        <v>3209.9999999999995</v>
      </c>
      <c r="J36" s="132">
        <f t="shared" si="15"/>
        <v>3269.9999999999995</v>
      </c>
      <c r="K36" s="132">
        <f t="shared" si="15"/>
        <v>3329.9999999999995</v>
      </c>
      <c r="L36" s="132">
        <f t="shared" si="15"/>
        <v>3389.9999999999995</v>
      </c>
      <c r="M36" s="132">
        <f t="shared" ref="M36:V41" si="16">unit_dps*(base_stat+M$25)*$B36</f>
        <v>3449.9999999999995</v>
      </c>
      <c r="N36" s="132">
        <f t="shared" si="16"/>
        <v>3510</v>
      </c>
      <c r="O36" s="132">
        <f t="shared" si="16"/>
        <v>3570</v>
      </c>
      <c r="P36" s="132">
        <f t="shared" si="16"/>
        <v>3630</v>
      </c>
      <c r="Q36" s="132">
        <f t="shared" si="16"/>
        <v>3690</v>
      </c>
      <c r="R36" s="111">
        <f t="shared" si="16"/>
        <v>3750</v>
      </c>
      <c r="S36" s="111">
        <f t="shared" si="16"/>
        <v>3810</v>
      </c>
      <c r="T36" s="111">
        <f t="shared" si="16"/>
        <v>3870</v>
      </c>
      <c r="U36" s="111">
        <f t="shared" si="16"/>
        <v>3930</v>
      </c>
      <c r="V36" s="111">
        <f t="shared" si="16"/>
        <v>3990</v>
      </c>
      <c r="W36" s="111">
        <f t="shared" ref="W36:AF41" si="17">unit_dps*(base_stat+W$25)*$B36</f>
        <v>4050</v>
      </c>
      <c r="X36" s="111">
        <f t="shared" si="17"/>
        <v>4110</v>
      </c>
      <c r="Y36" s="111">
        <f t="shared" si="17"/>
        <v>4170</v>
      </c>
      <c r="Z36" s="117">
        <f t="shared" si="17"/>
        <v>4230</v>
      </c>
      <c r="AA36" s="117">
        <f t="shared" si="17"/>
        <v>4290</v>
      </c>
      <c r="AB36" s="117">
        <f t="shared" si="17"/>
        <v>4350</v>
      </c>
      <c r="AC36" s="117">
        <f t="shared" si="17"/>
        <v>4410</v>
      </c>
      <c r="AD36" s="117">
        <f t="shared" si="17"/>
        <v>4470</v>
      </c>
      <c r="AE36" s="117">
        <f t="shared" si="17"/>
        <v>4530</v>
      </c>
      <c r="AF36" s="117">
        <f t="shared" si="17"/>
        <v>4589.9999999999991</v>
      </c>
      <c r="AG36" s="117">
        <f t="shared" ref="AG36:AP41" si="18">unit_dps*(base_stat+AG$25)*$B36</f>
        <v>4649.9999999999991</v>
      </c>
      <c r="AH36" s="117">
        <f t="shared" si="18"/>
        <v>4709.9999999999991</v>
      </c>
      <c r="AI36" s="117">
        <f t="shared" si="18"/>
        <v>4770</v>
      </c>
      <c r="AJ36" s="117">
        <f t="shared" si="18"/>
        <v>4830</v>
      </c>
      <c r="AK36" s="117">
        <f t="shared" si="18"/>
        <v>4890</v>
      </c>
      <c r="AL36" s="117">
        <f t="shared" si="18"/>
        <v>4950</v>
      </c>
      <c r="AM36" s="117">
        <f t="shared" si="18"/>
        <v>5010</v>
      </c>
      <c r="AN36" s="117">
        <f t="shared" si="18"/>
        <v>5070</v>
      </c>
      <c r="AO36" s="117">
        <f t="shared" si="18"/>
        <v>5130</v>
      </c>
      <c r="AP36" s="117">
        <f t="shared" si="18"/>
        <v>5190</v>
      </c>
      <c r="AQ36" s="117">
        <f t="shared" ref="AQ36:AZ41" si="19">unit_dps*(base_stat+AQ$25)*$B36</f>
        <v>5250</v>
      </c>
      <c r="AR36" s="117">
        <f t="shared" si="19"/>
        <v>5310</v>
      </c>
      <c r="AS36" s="117">
        <f t="shared" si="19"/>
        <v>5370</v>
      </c>
      <c r="AT36" s="117">
        <f t="shared" si="19"/>
        <v>5430</v>
      </c>
      <c r="AU36" s="117">
        <f t="shared" si="19"/>
        <v>5490</v>
      </c>
      <c r="AV36" s="117">
        <f t="shared" si="19"/>
        <v>5550</v>
      </c>
      <c r="AW36" s="117">
        <f t="shared" si="19"/>
        <v>5610</v>
      </c>
      <c r="AX36" s="117">
        <f t="shared" si="19"/>
        <v>5670</v>
      </c>
      <c r="AY36" s="117">
        <f t="shared" si="19"/>
        <v>5730</v>
      </c>
      <c r="AZ36" s="117">
        <f t="shared" si="19"/>
        <v>5790</v>
      </c>
    </row>
    <row r="37" spans="1:52" x14ac:dyDescent="0.2">
      <c r="A37" s="1">
        <v>12</v>
      </c>
      <c r="B37" s="113">
        <v>16</v>
      </c>
      <c r="C37" s="132">
        <f t="shared" si="15"/>
        <v>3040</v>
      </c>
      <c r="D37" s="132">
        <f t="shared" si="15"/>
        <v>3104</v>
      </c>
      <c r="E37" s="132">
        <f t="shared" si="15"/>
        <v>3168</v>
      </c>
      <c r="F37" s="132">
        <f t="shared" si="15"/>
        <v>3232</v>
      </c>
      <c r="G37" s="132">
        <f t="shared" si="15"/>
        <v>3296</v>
      </c>
      <c r="H37" s="132">
        <f t="shared" si="15"/>
        <v>3360</v>
      </c>
      <c r="I37" s="132">
        <f t="shared" si="15"/>
        <v>3423.9999999999995</v>
      </c>
      <c r="J37" s="132">
        <f t="shared" si="15"/>
        <v>3487.9999999999995</v>
      </c>
      <c r="K37" s="132">
        <f t="shared" si="15"/>
        <v>3551.9999999999995</v>
      </c>
      <c r="L37" s="132">
        <f t="shared" si="15"/>
        <v>3615.9999999999995</v>
      </c>
      <c r="M37" s="132">
        <f t="shared" si="16"/>
        <v>3679.9999999999995</v>
      </c>
      <c r="N37" s="132">
        <f t="shared" si="16"/>
        <v>3744</v>
      </c>
      <c r="O37" s="132">
        <f t="shared" si="16"/>
        <v>3808</v>
      </c>
      <c r="P37" s="132">
        <f t="shared" si="16"/>
        <v>3872</v>
      </c>
      <c r="Q37" s="132">
        <f t="shared" si="16"/>
        <v>3936</v>
      </c>
      <c r="R37" s="132">
        <f t="shared" si="16"/>
        <v>4000</v>
      </c>
      <c r="S37" s="132">
        <f t="shared" si="16"/>
        <v>4064</v>
      </c>
      <c r="T37" s="111">
        <f t="shared" si="16"/>
        <v>4128</v>
      </c>
      <c r="U37" s="111">
        <f t="shared" si="16"/>
        <v>4192</v>
      </c>
      <c r="V37" s="111">
        <f t="shared" si="16"/>
        <v>4256</v>
      </c>
      <c r="W37" s="111">
        <f t="shared" si="17"/>
        <v>4320</v>
      </c>
      <c r="X37" s="111">
        <f t="shared" si="17"/>
        <v>4384</v>
      </c>
      <c r="Y37" s="111">
        <f t="shared" si="17"/>
        <v>4448</v>
      </c>
      <c r="Z37" s="117">
        <f t="shared" si="17"/>
        <v>4512</v>
      </c>
      <c r="AA37" s="117">
        <f t="shared" si="17"/>
        <v>4576</v>
      </c>
      <c r="AB37" s="117">
        <f t="shared" si="17"/>
        <v>4640</v>
      </c>
      <c r="AC37" s="117">
        <f t="shared" si="17"/>
        <v>4704</v>
      </c>
      <c r="AD37" s="117">
        <f t="shared" si="17"/>
        <v>4768</v>
      </c>
      <c r="AE37" s="117">
        <f t="shared" si="17"/>
        <v>4832</v>
      </c>
      <c r="AF37" s="117">
        <f t="shared" si="17"/>
        <v>4895.9999999999991</v>
      </c>
      <c r="AG37" s="117">
        <f t="shared" si="18"/>
        <v>4959.9999999999991</v>
      </c>
      <c r="AH37" s="117">
        <f t="shared" si="18"/>
        <v>5023.9999999999991</v>
      </c>
      <c r="AI37" s="117">
        <f t="shared" si="18"/>
        <v>5088</v>
      </c>
      <c r="AJ37" s="117">
        <f t="shared" si="18"/>
        <v>5152</v>
      </c>
      <c r="AK37" s="117">
        <f t="shared" si="18"/>
        <v>5216</v>
      </c>
      <c r="AL37" s="117">
        <f t="shared" si="18"/>
        <v>5280</v>
      </c>
      <c r="AM37" s="117">
        <f t="shared" si="18"/>
        <v>5344</v>
      </c>
      <c r="AN37" s="117">
        <f t="shared" si="18"/>
        <v>5408</v>
      </c>
      <c r="AO37" s="117">
        <f t="shared" si="18"/>
        <v>5472</v>
      </c>
      <c r="AP37" s="117">
        <f t="shared" si="18"/>
        <v>5536</v>
      </c>
      <c r="AQ37" s="117">
        <f t="shared" si="19"/>
        <v>5600</v>
      </c>
      <c r="AR37" s="117">
        <f t="shared" si="19"/>
        <v>5664</v>
      </c>
      <c r="AS37" s="117">
        <f t="shared" si="19"/>
        <v>5728</v>
      </c>
      <c r="AT37" s="117">
        <f t="shared" si="19"/>
        <v>5792</v>
      </c>
      <c r="AU37" s="117">
        <f t="shared" si="19"/>
        <v>5856</v>
      </c>
      <c r="AV37" s="117">
        <f t="shared" si="19"/>
        <v>5920</v>
      </c>
      <c r="AW37" s="117">
        <f t="shared" si="19"/>
        <v>5984</v>
      </c>
      <c r="AX37" s="117">
        <f t="shared" si="19"/>
        <v>6048</v>
      </c>
      <c r="AY37" s="117">
        <f t="shared" si="19"/>
        <v>6112</v>
      </c>
      <c r="AZ37" s="117">
        <f t="shared" si="19"/>
        <v>6176</v>
      </c>
    </row>
    <row r="38" spans="1:52" x14ac:dyDescent="0.2">
      <c r="A38" s="1">
        <v>13</v>
      </c>
      <c r="B38" s="113">
        <v>17</v>
      </c>
      <c r="C38" s="132">
        <f t="shared" si="15"/>
        <v>3230</v>
      </c>
      <c r="D38" s="132">
        <f t="shared" si="15"/>
        <v>3298</v>
      </c>
      <c r="E38" s="132">
        <f t="shared" si="15"/>
        <v>3366</v>
      </c>
      <c r="F38" s="132">
        <f t="shared" si="15"/>
        <v>3434</v>
      </c>
      <c r="G38" s="132">
        <f t="shared" si="15"/>
        <v>3502</v>
      </c>
      <c r="H38" s="132">
        <f t="shared" si="15"/>
        <v>3570</v>
      </c>
      <c r="I38" s="132">
        <f t="shared" si="15"/>
        <v>3637.9999999999995</v>
      </c>
      <c r="J38" s="132">
        <f t="shared" si="15"/>
        <v>3705.9999999999995</v>
      </c>
      <c r="K38" s="132">
        <f t="shared" si="15"/>
        <v>3773.9999999999995</v>
      </c>
      <c r="L38" s="132">
        <f t="shared" si="15"/>
        <v>3841.9999999999995</v>
      </c>
      <c r="M38" s="132">
        <f t="shared" si="16"/>
        <v>3909.9999999999995</v>
      </c>
      <c r="N38" s="132">
        <f t="shared" si="16"/>
        <v>3978</v>
      </c>
      <c r="O38" s="132">
        <f t="shared" si="16"/>
        <v>4046</v>
      </c>
      <c r="P38" s="132">
        <f t="shared" si="16"/>
        <v>4114</v>
      </c>
      <c r="Q38" s="132">
        <f t="shared" si="16"/>
        <v>4182</v>
      </c>
      <c r="R38" s="132">
        <f t="shared" si="16"/>
        <v>4250</v>
      </c>
      <c r="S38" s="132">
        <f t="shared" si="16"/>
        <v>4318</v>
      </c>
      <c r="T38" s="132">
        <f t="shared" si="16"/>
        <v>4386</v>
      </c>
      <c r="U38" s="111">
        <f t="shared" si="16"/>
        <v>4454</v>
      </c>
      <c r="V38" s="111">
        <f t="shared" si="16"/>
        <v>4522</v>
      </c>
      <c r="W38" s="111">
        <f t="shared" si="17"/>
        <v>4590</v>
      </c>
      <c r="X38" s="111">
        <f t="shared" si="17"/>
        <v>4658</v>
      </c>
      <c r="Y38" s="111">
        <f t="shared" si="17"/>
        <v>4726</v>
      </c>
      <c r="Z38" s="117">
        <f t="shared" si="17"/>
        <v>4794</v>
      </c>
      <c r="AA38" s="117">
        <f t="shared" si="17"/>
        <v>4862</v>
      </c>
      <c r="AB38" s="117">
        <f t="shared" si="17"/>
        <v>4930</v>
      </c>
      <c r="AC38" s="117">
        <f t="shared" si="17"/>
        <v>4998</v>
      </c>
      <c r="AD38" s="117">
        <f t="shared" si="17"/>
        <v>5066</v>
      </c>
      <c r="AE38" s="117">
        <f t="shared" si="17"/>
        <v>5134</v>
      </c>
      <c r="AF38" s="117">
        <f t="shared" si="17"/>
        <v>5201.9999999999991</v>
      </c>
      <c r="AG38" s="117">
        <f t="shared" si="18"/>
        <v>5269.9999999999991</v>
      </c>
      <c r="AH38" s="117">
        <f t="shared" si="18"/>
        <v>5337.9999999999991</v>
      </c>
      <c r="AI38" s="117">
        <f t="shared" si="18"/>
        <v>5406</v>
      </c>
      <c r="AJ38" s="117">
        <f t="shared" si="18"/>
        <v>5474</v>
      </c>
      <c r="AK38" s="117">
        <f t="shared" si="18"/>
        <v>5542</v>
      </c>
      <c r="AL38" s="117">
        <f t="shared" si="18"/>
        <v>5610</v>
      </c>
      <c r="AM38" s="117">
        <f t="shared" si="18"/>
        <v>5678</v>
      </c>
      <c r="AN38" s="117">
        <f t="shared" si="18"/>
        <v>5746</v>
      </c>
      <c r="AO38" s="117">
        <f t="shared" si="18"/>
        <v>5814</v>
      </c>
      <c r="AP38" s="117">
        <f t="shared" si="18"/>
        <v>5882</v>
      </c>
      <c r="AQ38" s="117">
        <f t="shared" si="19"/>
        <v>5950</v>
      </c>
      <c r="AR38" s="117">
        <f t="shared" si="19"/>
        <v>6018</v>
      </c>
      <c r="AS38" s="117">
        <f t="shared" si="19"/>
        <v>6086</v>
      </c>
      <c r="AT38" s="117">
        <f t="shared" si="19"/>
        <v>6154</v>
      </c>
      <c r="AU38" s="117">
        <f t="shared" si="19"/>
        <v>6222</v>
      </c>
      <c r="AV38" s="117">
        <f t="shared" si="19"/>
        <v>6290</v>
      </c>
      <c r="AW38" s="117">
        <f t="shared" si="19"/>
        <v>6358</v>
      </c>
      <c r="AX38" s="117">
        <f t="shared" si="19"/>
        <v>6426</v>
      </c>
      <c r="AY38" s="117">
        <f t="shared" si="19"/>
        <v>6494</v>
      </c>
      <c r="AZ38" s="117">
        <f t="shared" si="19"/>
        <v>6562</v>
      </c>
    </row>
    <row r="39" spans="1:52" x14ac:dyDescent="0.2">
      <c r="A39" s="1">
        <v>14</v>
      </c>
      <c r="B39" s="113">
        <v>18</v>
      </c>
      <c r="C39" s="132">
        <f t="shared" si="15"/>
        <v>3420</v>
      </c>
      <c r="D39" s="132">
        <f t="shared" si="15"/>
        <v>3492</v>
      </c>
      <c r="E39" s="132">
        <f t="shared" si="15"/>
        <v>3564</v>
      </c>
      <c r="F39" s="132">
        <f t="shared" si="15"/>
        <v>3636</v>
      </c>
      <c r="G39" s="132">
        <f t="shared" si="15"/>
        <v>3708</v>
      </c>
      <c r="H39" s="132">
        <f t="shared" si="15"/>
        <v>3780</v>
      </c>
      <c r="I39" s="132">
        <f t="shared" si="15"/>
        <v>3851.9999999999995</v>
      </c>
      <c r="J39" s="132">
        <f t="shared" si="15"/>
        <v>3923.9999999999995</v>
      </c>
      <c r="K39" s="132">
        <f t="shared" si="15"/>
        <v>3995.9999999999995</v>
      </c>
      <c r="L39" s="132">
        <f t="shared" si="15"/>
        <v>4067.9999999999995</v>
      </c>
      <c r="M39" s="132">
        <f t="shared" si="16"/>
        <v>4139.9999999999991</v>
      </c>
      <c r="N39" s="132">
        <f t="shared" si="16"/>
        <v>4212</v>
      </c>
      <c r="O39" s="132">
        <f t="shared" si="16"/>
        <v>4284</v>
      </c>
      <c r="P39" s="132">
        <f t="shared" si="16"/>
        <v>4356</v>
      </c>
      <c r="Q39" s="132">
        <f t="shared" si="16"/>
        <v>4428</v>
      </c>
      <c r="R39" s="132">
        <f t="shared" si="16"/>
        <v>4500</v>
      </c>
      <c r="S39" s="132">
        <f t="shared" si="16"/>
        <v>4572</v>
      </c>
      <c r="T39" s="132">
        <f t="shared" si="16"/>
        <v>4644</v>
      </c>
      <c r="U39" s="132">
        <f t="shared" si="16"/>
        <v>4716</v>
      </c>
      <c r="V39" s="132">
        <f t="shared" si="16"/>
        <v>4788</v>
      </c>
      <c r="W39" s="111">
        <f t="shared" si="17"/>
        <v>4860</v>
      </c>
      <c r="X39" s="111">
        <f t="shared" si="17"/>
        <v>4932</v>
      </c>
      <c r="Y39" s="111">
        <f t="shared" si="17"/>
        <v>5004</v>
      </c>
      <c r="Z39" s="117">
        <f t="shared" si="17"/>
        <v>5076</v>
      </c>
      <c r="AA39" s="117">
        <f t="shared" si="17"/>
        <v>5148</v>
      </c>
      <c r="AB39" s="117">
        <f t="shared" si="17"/>
        <v>5220</v>
      </c>
      <c r="AC39" s="117">
        <f t="shared" si="17"/>
        <v>5292</v>
      </c>
      <c r="AD39" s="117">
        <f t="shared" si="17"/>
        <v>5364</v>
      </c>
      <c r="AE39" s="117">
        <f t="shared" si="17"/>
        <v>5436</v>
      </c>
      <c r="AF39" s="117">
        <f t="shared" si="17"/>
        <v>5507.9999999999991</v>
      </c>
      <c r="AG39" s="117">
        <f t="shared" si="18"/>
        <v>5579.9999999999991</v>
      </c>
      <c r="AH39" s="117">
        <f t="shared" si="18"/>
        <v>5651.9999999999991</v>
      </c>
      <c r="AI39" s="117">
        <f t="shared" si="18"/>
        <v>5724</v>
      </c>
      <c r="AJ39" s="117">
        <f t="shared" si="18"/>
        <v>5796</v>
      </c>
      <c r="AK39" s="117">
        <f t="shared" si="18"/>
        <v>5868</v>
      </c>
      <c r="AL39" s="117">
        <f t="shared" si="18"/>
        <v>5940</v>
      </c>
      <c r="AM39" s="117">
        <f t="shared" si="18"/>
        <v>6012</v>
      </c>
      <c r="AN39" s="117">
        <f t="shared" si="18"/>
        <v>6084</v>
      </c>
      <c r="AO39" s="117">
        <f t="shared" si="18"/>
        <v>6156</v>
      </c>
      <c r="AP39" s="117">
        <f t="shared" si="18"/>
        <v>6228</v>
      </c>
      <c r="AQ39" s="117">
        <f t="shared" si="19"/>
        <v>6300</v>
      </c>
      <c r="AR39" s="117">
        <f t="shared" si="19"/>
        <v>6372</v>
      </c>
      <c r="AS39" s="117">
        <f t="shared" si="19"/>
        <v>6444</v>
      </c>
      <c r="AT39" s="117">
        <f t="shared" si="19"/>
        <v>6516</v>
      </c>
      <c r="AU39" s="117">
        <f t="shared" si="19"/>
        <v>6588</v>
      </c>
      <c r="AV39" s="117">
        <f t="shared" si="19"/>
        <v>6660</v>
      </c>
      <c r="AW39" s="117">
        <f t="shared" si="19"/>
        <v>6732</v>
      </c>
      <c r="AX39" s="117">
        <f t="shared" si="19"/>
        <v>6804</v>
      </c>
      <c r="AY39" s="117">
        <f t="shared" si="19"/>
        <v>6876</v>
      </c>
      <c r="AZ39" s="117">
        <f t="shared" si="19"/>
        <v>6948</v>
      </c>
    </row>
    <row r="40" spans="1:52" x14ac:dyDescent="0.2">
      <c r="A40" s="1">
        <v>15</v>
      </c>
      <c r="B40" s="113">
        <v>19</v>
      </c>
      <c r="C40" s="132">
        <f t="shared" si="15"/>
        <v>3610</v>
      </c>
      <c r="D40" s="132">
        <f t="shared" si="15"/>
        <v>3686</v>
      </c>
      <c r="E40" s="132">
        <f t="shared" si="15"/>
        <v>3762</v>
      </c>
      <c r="F40" s="132">
        <f t="shared" si="15"/>
        <v>3838</v>
      </c>
      <c r="G40" s="132">
        <f t="shared" si="15"/>
        <v>3914</v>
      </c>
      <c r="H40" s="132">
        <f t="shared" si="15"/>
        <v>3990</v>
      </c>
      <c r="I40" s="132">
        <f t="shared" si="15"/>
        <v>4065.9999999999995</v>
      </c>
      <c r="J40" s="132">
        <f t="shared" si="15"/>
        <v>4141.9999999999991</v>
      </c>
      <c r="K40" s="132">
        <f t="shared" si="15"/>
        <v>4217.9999999999991</v>
      </c>
      <c r="L40" s="132">
        <f t="shared" si="15"/>
        <v>4293.9999999999991</v>
      </c>
      <c r="M40" s="132">
        <f t="shared" si="16"/>
        <v>4369.9999999999991</v>
      </c>
      <c r="N40" s="132">
        <f t="shared" si="16"/>
        <v>4446</v>
      </c>
      <c r="O40" s="132">
        <f t="shared" si="16"/>
        <v>4522</v>
      </c>
      <c r="P40" s="132">
        <f t="shared" si="16"/>
        <v>4598</v>
      </c>
      <c r="Q40" s="132">
        <f t="shared" si="16"/>
        <v>4674</v>
      </c>
      <c r="R40" s="132">
        <f t="shared" si="16"/>
        <v>4750</v>
      </c>
      <c r="S40" s="132">
        <f t="shared" si="16"/>
        <v>4826</v>
      </c>
      <c r="T40" s="132">
        <f t="shared" si="16"/>
        <v>4902</v>
      </c>
      <c r="U40" s="132">
        <f t="shared" si="16"/>
        <v>4978</v>
      </c>
      <c r="V40" s="132">
        <f t="shared" si="16"/>
        <v>5054</v>
      </c>
      <c r="W40" s="132">
        <f t="shared" si="17"/>
        <v>5130</v>
      </c>
      <c r="X40" s="111">
        <f t="shared" si="17"/>
        <v>5206</v>
      </c>
      <c r="Y40" s="111">
        <f t="shared" si="17"/>
        <v>5282</v>
      </c>
      <c r="Z40" s="117">
        <f t="shared" si="17"/>
        <v>5358</v>
      </c>
      <c r="AA40" s="117">
        <f t="shared" si="17"/>
        <v>5434</v>
      </c>
      <c r="AB40" s="117">
        <f t="shared" si="17"/>
        <v>5510</v>
      </c>
      <c r="AC40" s="117">
        <f t="shared" si="17"/>
        <v>5586</v>
      </c>
      <c r="AD40" s="117">
        <f t="shared" si="17"/>
        <v>5662</v>
      </c>
      <c r="AE40" s="117">
        <f t="shared" si="17"/>
        <v>5738</v>
      </c>
      <c r="AF40" s="117">
        <f t="shared" si="17"/>
        <v>5813.9999999999991</v>
      </c>
      <c r="AG40" s="117">
        <f t="shared" si="18"/>
        <v>5889.9999999999991</v>
      </c>
      <c r="AH40" s="117">
        <f t="shared" si="18"/>
        <v>5965.9999999999991</v>
      </c>
      <c r="AI40" s="117">
        <f t="shared" si="18"/>
        <v>6042</v>
      </c>
      <c r="AJ40" s="117">
        <f t="shared" si="18"/>
        <v>6118</v>
      </c>
      <c r="AK40" s="117">
        <f t="shared" si="18"/>
        <v>6194</v>
      </c>
      <c r="AL40" s="117">
        <f t="shared" si="18"/>
        <v>6270</v>
      </c>
      <c r="AM40" s="117">
        <f t="shared" si="18"/>
        <v>6346</v>
      </c>
      <c r="AN40" s="117">
        <f t="shared" si="18"/>
        <v>6422</v>
      </c>
      <c r="AO40" s="117">
        <f t="shared" si="18"/>
        <v>6498</v>
      </c>
      <c r="AP40" s="117">
        <f t="shared" si="18"/>
        <v>6574</v>
      </c>
      <c r="AQ40" s="117">
        <f t="shared" si="19"/>
        <v>6650</v>
      </c>
      <c r="AR40" s="117">
        <f t="shared" si="19"/>
        <v>6726</v>
      </c>
      <c r="AS40" s="117">
        <f t="shared" si="19"/>
        <v>6802</v>
      </c>
      <c r="AT40" s="117">
        <f t="shared" si="19"/>
        <v>6878</v>
      </c>
      <c r="AU40" s="117">
        <f t="shared" si="19"/>
        <v>6954</v>
      </c>
      <c r="AV40" s="117">
        <f t="shared" si="19"/>
        <v>7030</v>
      </c>
      <c r="AW40" s="117">
        <f t="shared" si="19"/>
        <v>7106</v>
      </c>
      <c r="AX40" s="117">
        <f t="shared" si="19"/>
        <v>7182</v>
      </c>
      <c r="AY40" s="117">
        <f t="shared" si="19"/>
        <v>7258</v>
      </c>
      <c r="AZ40" s="117">
        <f t="shared" si="19"/>
        <v>7334</v>
      </c>
    </row>
    <row r="41" spans="1:52" x14ac:dyDescent="0.2">
      <c r="A41" s="1">
        <v>16</v>
      </c>
      <c r="B41" s="116">
        <v>20</v>
      </c>
      <c r="C41" s="133">
        <f t="shared" si="15"/>
        <v>3800</v>
      </c>
      <c r="D41" s="133">
        <f t="shared" si="15"/>
        <v>3880</v>
      </c>
      <c r="E41" s="133">
        <f t="shared" si="15"/>
        <v>3960</v>
      </c>
      <c r="F41" s="133">
        <f t="shared" si="15"/>
        <v>4040</v>
      </c>
      <c r="G41" s="133">
        <f t="shared" si="15"/>
        <v>4120</v>
      </c>
      <c r="H41" s="133">
        <f t="shared" si="15"/>
        <v>4200</v>
      </c>
      <c r="I41" s="133">
        <f t="shared" si="15"/>
        <v>4279.9999999999991</v>
      </c>
      <c r="J41" s="133">
        <f t="shared" si="15"/>
        <v>4359.9999999999991</v>
      </c>
      <c r="K41" s="133">
        <f t="shared" si="15"/>
        <v>4439.9999999999991</v>
      </c>
      <c r="L41" s="133">
        <f t="shared" si="15"/>
        <v>4519.9999999999991</v>
      </c>
      <c r="M41" s="133">
        <f t="shared" si="16"/>
        <v>4599.9999999999991</v>
      </c>
      <c r="N41" s="133">
        <f t="shared" si="16"/>
        <v>4680</v>
      </c>
      <c r="O41" s="133">
        <f t="shared" si="16"/>
        <v>4760</v>
      </c>
      <c r="P41" s="133">
        <f t="shared" si="16"/>
        <v>4840</v>
      </c>
      <c r="Q41" s="133">
        <f t="shared" si="16"/>
        <v>4920</v>
      </c>
      <c r="R41" s="133">
        <f t="shared" si="16"/>
        <v>5000</v>
      </c>
      <c r="S41" s="133">
        <f t="shared" si="16"/>
        <v>5080</v>
      </c>
      <c r="T41" s="133">
        <f t="shared" si="16"/>
        <v>5160</v>
      </c>
      <c r="U41" s="133">
        <f t="shared" si="16"/>
        <v>5240</v>
      </c>
      <c r="V41" s="133">
        <f t="shared" si="16"/>
        <v>5320</v>
      </c>
      <c r="W41" s="133">
        <f t="shared" si="17"/>
        <v>5400</v>
      </c>
      <c r="X41" s="133">
        <f t="shared" si="17"/>
        <v>5480</v>
      </c>
      <c r="Y41" s="133">
        <f t="shared" si="17"/>
        <v>5560</v>
      </c>
      <c r="Z41" s="117">
        <f t="shared" si="17"/>
        <v>5640</v>
      </c>
      <c r="AA41" s="117">
        <f t="shared" si="17"/>
        <v>5720</v>
      </c>
      <c r="AB41" s="117">
        <f t="shared" si="17"/>
        <v>5800</v>
      </c>
      <c r="AC41" s="117">
        <f t="shared" si="17"/>
        <v>5880</v>
      </c>
      <c r="AD41" s="117">
        <f t="shared" si="17"/>
        <v>5960</v>
      </c>
      <c r="AE41" s="117">
        <f t="shared" si="17"/>
        <v>6040</v>
      </c>
      <c r="AF41" s="117">
        <f t="shared" si="17"/>
        <v>6119.9999999999991</v>
      </c>
      <c r="AG41" s="117">
        <f t="shared" si="18"/>
        <v>6199.9999999999991</v>
      </c>
      <c r="AH41" s="117">
        <f t="shared" si="18"/>
        <v>6279.9999999999991</v>
      </c>
      <c r="AI41" s="117">
        <f t="shared" si="18"/>
        <v>6360</v>
      </c>
      <c r="AJ41" s="117">
        <f t="shared" si="18"/>
        <v>6440</v>
      </c>
      <c r="AK41" s="117">
        <f t="shared" si="18"/>
        <v>6520</v>
      </c>
      <c r="AL41" s="117">
        <f t="shared" si="18"/>
        <v>6600</v>
      </c>
      <c r="AM41" s="117">
        <f t="shared" si="18"/>
        <v>6680</v>
      </c>
      <c r="AN41" s="117">
        <f t="shared" si="18"/>
        <v>6760</v>
      </c>
      <c r="AO41" s="117">
        <f t="shared" si="18"/>
        <v>6840</v>
      </c>
      <c r="AP41" s="117">
        <f t="shared" si="18"/>
        <v>6920</v>
      </c>
      <c r="AQ41" s="117">
        <f t="shared" si="19"/>
        <v>7000</v>
      </c>
      <c r="AR41" s="117">
        <f t="shared" si="19"/>
        <v>7080</v>
      </c>
      <c r="AS41" s="117">
        <f t="shared" si="19"/>
        <v>7160</v>
      </c>
      <c r="AT41" s="117">
        <f t="shared" si="19"/>
        <v>7240</v>
      </c>
      <c r="AU41" s="117">
        <f t="shared" si="19"/>
        <v>7320</v>
      </c>
      <c r="AV41" s="117">
        <f t="shared" si="19"/>
        <v>7400</v>
      </c>
      <c r="AW41" s="117">
        <f t="shared" si="19"/>
        <v>7480</v>
      </c>
      <c r="AX41" s="117">
        <f t="shared" si="19"/>
        <v>7560</v>
      </c>
      <c r="AY41" s="117">
        <f t="shared" si="19"/>
        <v>7640</v>
      </c>
      <c r="AZ41" s="117">
        <f t="shared" si="19"/>
        <v>7720</v>
      </c>
    </row>
    <row r="42" spans="1:52" x14ac:dyDescent="0.2">
      <c r="B42" s="101">
        <v>1.9</v>
      </c>
      <c r="C42" s="124">
        <f t="shared" ref="C42:Z42" si="20">C26/C6</f>
        <v>1.1875</v>
      </c>
      <c r="D42" s="124">
        <f t="shared" si="20"/>
        <v>1.2049689440993789</v>
      </c>
      <c r="E42" s="124">
        <f t="shared" si="20"/>
        <v>1.2222222222222223</v>
      </c>
      <c r="F42" s="124">
        <f t="shared" si="20"/>
        <v>1.2392638036809815</v>
      </c>
      <c r="G42" s="124">
        <f t="shared" si="20"/>
        <v>1.2560975609756098</v>
      </c>
      <c r="H42" s="124">
        <f t="shared" si="20"/>
        <v>1.2727272727272727</v>
      </c>
      <c r="I42" s="124">
        <f t="shared" si="20"/>
        <v>1.2891566265060239</v>
      </c>
      <c r="J42" s="124">
        <f t="shared" si="20"/>
        <v>1.3053892215568859</v>
      </c>
      <c r="K42" s="124">
        <f t="shared" si="20"/>
        <v>1.321428571428571</v>
      </c>
      <c r="L42" s="124">
        <f t="shared" si="20"/>
        <v>1.3372781065088752</v>
      </c>
      <c r="M42" s="124">
        <f t="shared" si="20"/>
        <v>1.3529411764705879</v>
      </c>
      <c r="N42" s="124">
        <f t="shared" si="20"/>
        <v>1.3684210526315788</v>
      </c>
      <c r="O42" s="124">
        <f t="shared" si="20"/>
        <v>1.3837209302325579</v>
      </c>
      <c r="P42" s="124">
        <f t="shared" si="20"/>
        <v>1.3988439306358382</v>
      </c>
      <c r="Q42" s="124">
        <f t="shared" si="20"/>
        <v>1.4137931034482756</v>
      </c>
      <c r="R42" s="124">
        <f t="shared" si="20"/>
        <v>1.4285714285714286</v>
      </c>
      <c r="S42" s="124">
        <f t="shared" si="20"/>
        <v>1.4431818181818181</v>
      </c>
      <c r="T42" s="124">
        <f t="shared" si="20"/>
        <v>1.4576271186440677</v>
      </c>
      <c r="U42" s="124">
        <f t="shared" si="20"/>
        <v>1.4719101123595506</v>
      </c>
      <c r="V42" s="124">
        <f t="shared" si="20"/>
        <v>1.4860335195530727</v>
      </c>
      <c r="W42" s="124">
        <f t="shared" si="20"/>
        <v>1.5</v>
      </c>
      <c r="X42" s="124">
        <f t="shared" si="20"/>
        <v>1.5138121546961325</v>
      </c>
      <c r="Y42" s="124">
        <f t="shared" si="20"/>
        <v>1.5274725274725274</v>
      </c>
      <c r="Z42" s="124">
        <f t="shared" si="20"/>
        <v>1.540983606557377</v>
      </c>
      <c r="AA42" s="124">
        <f t="shared" ref="AA42:AZ42" si="21">AA26/AA6</f>
        <v>1.5543478260869565</v>
      </c>
      <c r="AB42" s="124">
        <f t="shared" si="21"/>
        <v>1.5675675675675675</v>
      </c>
      <c r="AC42" s="124">
        <f t="shared" si="21"/>
        <v>1.5806451612903225</v>
      </c>
      <c r="AD42" s="124">
        <f t="shared" si="21"/>
        <v>1.5935828877005347</v>
      </c>
      <c r="AE42" s="124">
        <f t="shared" si="21"/>
        <v>1.6063829787234043</v>
      </c>
      <c r="AF42" s="124">
        <f t="shared" si="21"/>
        <v>1.6190476190476188</v>
      </c>
      <c r="AG42" s="124">
        <f t="shared" si="21"/>
        <v>1.6315789473684208</v>
      </c>
      <c r="AH42" s="124">
        <f t="shared" si="21"/>
        <v>1.6439790575916229</v>
      </c>
      <c r="AI42" s="124">
        <f t="shared" si="21"/>
        <v>1.6562499999999998</v>
      </c>
      <c r="AJ42" s="124">
        <f t="shared" si="21"/>
        <v>1.6683937823834194</v>
      </c>
      <c r="AK42" s="124">
        <f t="shared" si="21"/>
        <v>1.6804123711340204</v>
      </c>
      <c r="AL42" s="124">
        <f t="shared" si="21"/>
        <v>1.6923076923076921</v>
      </c>
      <c r="AM42" s="124">
        <f t="shared" si="21"/>
        <v>1.7040816326530612</v>
      </c>
      <c r="AN42" s="124">
        <f t="shared" si="21"/>
        <v>1.7157360406091369</v>
      </c>
      <c r="AO42" s="124">
        <f t="shared" si="21"/>
        <v>1.7272727272727273</v>
      </c>
      <c r="AP42" s="124">
        <f t="shared" si="21"/>
        <v>1.7386934673366832</v>
      </c>
      <c r="AQ42" s="124">
        <f t="shared" si="21"/>
        <v>1.75</v>
      </c>
      <c r="AR42" s="124">
        <f t="shared" si="21"/>
        <v>1.761194029850746</v>
      </c>
      <c r="AS42" s="124">
        <f t="shared" si="21"/>
        <v>1.7722772277227723</v>
      </c>
      <c r="AT42" s="124">
        <f t="shared" si="21"/>
        <v>1.7832512315270934</v>
      </c>
      <c r="AU42" s="124">
        <f t="shared" si="21"/>
        <v>1.7941176470588236</v>
      </c>
      <c r="AV42" s="124">
        <f t="shared" si="21"/>
        <v>1.8048780487804874</v>
      </c>
      <c r="AW42" s="124">
        <f t="shared" si="21"/>
        <v>1.8155339805825244</v>
      </c>
      <c r="AX42" s="124">
        <f t="shared" si="21"/>
        <v>1.8260869565217388</v>
      </c>
      <c r="AY42" s="124">
        <f t="shared" si="21"/>
        <v>1.8365384615384615</v>
      </c>
      <c r="AZ42" s="124">
        <f t="shared" si="21"/>
        <v>1.8468899521531101</v>
      </c>
    </row>
    <row r="43" spans="1:52" x14ac:dyDescent="0.2">
      <c r="C43" s="124" t="str">
        <f>C3</f>
        <v>영웅레벨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</row>
    <row r="44" spans="1:52" x14ac:dyDescent="0.2">
      <c r="B44" s="101" t="s">
        <v>217</v>
      </c>
      <c r="C44" s="123">
        <f>C4</f>
        <v>1</v>
      </c>
      <c r="D44" s="123">
        <f t="shared" ref="D44:AI44" si="22">D4</f>
        <v>2</v>
      </c>
      <c r="E44" s="123">
        <f t="shared" si="22"/>
        <v>3</v>
      </c>
      <c r="F44" s="123">
        <f t="shared" si="22"/>
        <v>4</v>
      </c>
      <c r="G44" s="123">
        <f t="shared" si="22"/>
        <v>5</v>
      </c>
      <c r="H44" s="123">
        <f t="shared" si="22"/>
        <v>6</v>
      </c>
      <c r="I44" s="123">
        <f t="shared" si="22"/>
        <v>7</v>
      </c>
      <c r="J44" s="123">
        <f t="shared" si="22"/>
        <v>8</v>
      </c>
      <c r="K44" s="123">
        <f t="shared" si="22"/>
        <v>9</v>
      </c>
      <c r="L44" s="123">
        <f t="shared" si="22"/>
        <v>10</v>
      </c>
      <c r="M44" s="123">
        <f t="shared" si="22"/>
        <v>11</v>
      </c>
      <c r="N44" s="123">
        <f t="shared" si="22"/>
        <v>12</v>
      </c>
      <c r="O44" s="123">
        <f t="shared" si="22"/>
        <v>13</v>
      </c>
      <c r="P44" s="123">
        <f t="shared" si="22"/>
        <v>14</v>
      </c>
      <c r="Q44" s="123">
        <f t="shared" si="22"/>
        <v>15</v>
      </c>
      <c r="R44" s="123">
        <f t="shared" si="22"/>
        <v>16</v>
      </c>
      <c r="S44" s="123">
        <f t="shared" si="22"/>
        <v>17</v>
      </c>
      <c r="T44" s="123">
        <f t="shared" si="22"/>
        <v>18</v>
      </c>
      <c r="U44" s="123">
        <f t="shared" si="22"/>
        <v>19</v>
      </c>
      <c r="V44" s="123">
        <f t="shared" si="22"/>
        <v>20</v>
      </c>
      <c r="W44" s="123">
        <f t="shared" si="22"/>
        <v>21</v>
      </c>
      <c r="X44" s="123">
        <f t="shared" si="22"/>
        <v>22</v>
      </c>
      <c r="Y44" s="123">
        <f t="shared" si="22"/>
        <v>23</v>
      </c>
      <c r="Z44" s="123">
        <f t="shared" si="22"/>
        <v>24</v>
      </c>
      <c r="AA44" s="123">
        <f t="shared" si="22"/>
        <v>25</v>
      </c>
      <c r="AB44" s="123">
        <f t="shared" si="22"/>
        <v>26</v>
      </c>
      <c r="AC44" s="123">
        <f t="shared" si="22"/>
        <v>27</v>
      </c>
      <c r="AD44" s="123">
        <f t="shared" si="22"/>
        <v>28</v>
      </c>
      <c r="AE44" s="123">
        <f t="shared" si="22"/>
        <v>29</v>
      </c>
      <c r="AF44" s="123">
        <f t="shared" si="22"/>
        <v>30</v>
      </c>
      <c r="AG44" s="123">
        <f t="shared" si="22"/>
        <v>31</v>
      </c>
      <c r="AH44" s="123">
        <f t="shared" si="22"/>
        <v>32</v>
      </c>
      <c r="AI44" s="123">
        <f t="shared" si="22"/>
        <v>33</v>
      </c>
      <c r="AJ44" s="123">
        <f t="shared" ref="AJ44:AZ44" si="23">AJ4</f>
        <v>34</v>
      </c>
      <c r="AK44" s="123">
        <f t="shared" si="23"/>
        <v>35</v>
      </c>
      <c r="AL44" s="123">
        <f t="shared" si="23"/>
        <v>36</v>
      </c>
      <c r="AM44" s="123">
        <f t="shared" si="23"/>
        <v>37</v>
      </c>
      <c r="AN44" s="123">
        <f t="shared" si="23"/>
        <v>38</v>
      </c>
      <c r="AO44" s="123">
        <f t="shared" si="23"/>
        <v>39</v>
      </c>
      <c r="AP44" s="123">
        <f t="shared" si="23"/>
        <v>40</v>
      </c>
      <c r="AQ44" s="123">
        <f t="shared" si="23"/>
        <v>41</v>
      </c>
      <c r="AR44" s="123">
        <f t="shared" si="23"/>
        <v>42</v>
      </c>
      <c r="AS44" s="123">
        <f t="shared" si="23"/>
        <v>43</v>
      </c>
      <c r="AT44" s="123">
        <f t="shared" si="23"/>
        <v>44</v>
      </c>
      <c r="AU44" s="123">
        <f t="shared" si="23"/>
        <v>45</v>
      </c>
      <c r="AV44" s="123">
        <f t="shared" si="23"/>
        <v>46</v>
      </c>
      <c r="AW44" s="123">
        <f t="shared" si="23"/>
        <v>47</v>
      </c>
      <c r="AX44" s="123">
        <f t="shared" si="23"/>
        <v>48</v>
      </c>
      <c r="AY44" s="123">
        <f t="shared" si="23"/>
        <v>49</v>
      </c>
      <c r="AZ44" s="123">
        <f t="shared" si="23"/>
        <v>50</v>
      </c>
    </row>
    <row r="45" spans="1:52" x14ac:dyDescent="0.2">
      <c r="A45" s="1" t="s">
        <v>158</v>
      </c>
      <c r="B45" s="101" t="s">
        <v>218</v>
      </c>
      <c r="C45" s="126">
        <f>C5</f>
        <v>0</v>
      </c>
      <c r="D45" s="126">
        <f t="shared" ref="D45:AI45" si="24">D5</f>
        <v>0.01</v>
      </c>
      <c r="E45" s="126">
        <f t="shared" si="24"/>
        <v>0.02</v>
      </c>
      <c r="F45" s="126">
        <f t="shared" si="24"/>
        <v>0.03</v>
      </c>
      <c r="G45" s="126">
        <f t="shared" si="24"/>
        <v>0.04</v>
      </c>
      <c r="H45" s="126">
        <f t="shared" si="24"/>
        <v>0.05</v>
      </c>
      <c r="I45" s="126">
        <f t="shared" si="24"/>
        <v>0.06</v>
      </c>
      <c r="J45" s="126">
        <f t="shared" si="24"/>
        <v>7.0000000000000007E-2</v>
      </c>
      <c r="K45" s="126">
        <f t="shared" si="24"/>
        <v>0.08</v>
      </c>
      <c r="L45" s="126">
        <f t="shared" si="24"/>
        <v>0.09</v>
      </c>
      <c r="M45" s="126">
        <f t="shared" si="24"/>
        <v>0.1</v>
      </c>
      <c r="N45" s="126">
        <f t="shared" si="24"/>
        <v>0.11</v>
      </c>
      <c r="O45" s="126">
        <f t="shared" si="24"/>
        <v>0.12</v>
      </c>
      <c r="P45" s="126">
        <f t="shared" si="24"/>
        <v>0.13</v>
      </c>
      <c r="Q45" s="126">
        <f t="shared" si="24"/>
        <v>0.14000000000000001</v>
      </c>
      <c r="R45" s="126">
        <f t="shared" si="24"/>
        <v>0.15</v>
      </c>
      <c r="S45" s="126">
        <f t="shared" si="24"/>
        <v>0.16</v>
      </c>
      <c r="T45" s="126">
        <f t="shared" si="24"/>
        <v>0.17</v>
      </c>
      <c r="U45" s="126">
        <f t="shared" si="24"/>
        <v>0.18</v>
      </c>
      <c r="V45" s="126">
        <f t="shared" si="24"/>
        <v>0.19</v>
      </c>
      <c r="W45" s="126">
        <f t="shared" si="24"/>
        <v>0.2</v>
      </c>
      <c r="X45" s="126">
        <f t="shared" si="24"/>
        <v>0.21</v>
      </c>
      <c r="Y45" s="126">
        <f t="shared" si="24"/>
        <v>0.22</v>
      </c>
      <c r="Z45" s="126">
        <f t="shared" si="24"/>
        <v>0.23</v>
      </c>
      <c r="AA45" s="126">
        <f t="shared" si="24"/>
        <v>0.24</v>
      </c>
      <c r="AB45" s="126">
        <f t="shared" si="24"/>
        <v>0.25</v>
      </c>
      <c r="AC45" s="126">
        <f t="shared" si="24"/>
        <v>0.26</v>
      </c>
      <c r="AD45" s="126">
        <f t="shared" si="24"/>
        <v>0.27</v>
      </c>
      <c r="AE45" s="126">
        <f t="shared" si="24"/>
        <v>0.28000000000000003</v>
      </c>
      <c r="AF45" s="126">
        <f t="shared" si="24"/>
        <v>0.28999999999999998</v>
      </c>
      <c r="AG45" s="126">
        <f t="shared" si="24"/>
        <v>0.3</v>
      </c>
      <c r="AH45" s="126">
        <f t="shared" si="24"/>
        <v>0.31</v>
      </c>
      <c r="AI45" s="126">
        <f t="shared" si="24"/>
        <v>0.32</v>
      </c>
      <c r="AJ45" s="126">
        <f t="shared" ref="AJ45:AZ45" si="25">AJ5</f>
        <v>0.33</v>
      </c>
      <c r="AK45" s="126">
        <f t="shared" si="25"/>
        <v>0.34</v>
      </c>
      <c r="AL45" s="126">
        <f t="shared" si="25"/>
        <v>0.35</v>
      </c>
      <c r="AM45" s="126">
        <f t="shared" si="25"/>
        <v>0.36</v>
      </c>
      <c r="AN45" s="126">
        <f t="shared" si="25"/>
        <v>0.37</v>
      </c>
      <c r="AO45" s="126">
        <f t="shared" si="25"/>
        <v>0.38</v>
      </c>
      <c r="AP45" s="126">
        <f t="shared" si="25"/>
        <v>0.39</v>
      </c>
      <c r="AQ45" s="126">
        <f t="shared" si="25"/>
        <v>0.4</v>
      </c>
      <c r="AR45" s="126">
        <f t="shared" si="25"/>
        <v>0.41</v>
      </c>
      <c r="AS45" s="126">
        <f t="shared" si="25"/>
        <v>0.42</v>
      </c>
      <c r="AT45" s="126">
        <f t="shared" si="25"/>
        <v>0.43</v>
      </c>
      <c r="AU45" s="126">
        <f t="shared" si="25"/>
        <v>0.44</v>
      </c>
      <c r="AV45" s="126">
        <f t="shared" si="25"/>
        <v>0.45</v>
      </c>
      <c r="AW45" s="126">
        <f t="shared" si="25"/>
        <v>0.46</v>
      </c>
      <c r="AX45" s="126">
        <f t="shared" si="25"/>
        <v>0.47</v>
      </c>
      <c r="AY45" s="126">
        <f t="shared" si="25"/>
        <v>0.48</v>
      </c>
      <c r="AZ45" s="126">
        <f t="shared" si="25"/>
        <v>0.49</v>
      </c>
    </row>
    <row r="46" spans="1:52" x14ac:dyDescent="0.2">
      <c r="A46" s="127">
        <v>1</v>
      </c>
      <c r="B46" s="113">
        <v>5</v>
      </c>
      <c r="C46" s="141">
        <f t="shared" ref="C46:L55" si="26">0+((2000*(base_stat1+C$45)) * $B46)</f>
        <v>16000</v>
      </c>
      <c r="D46" s="111">
        <f t="shared" si="26"/>
        <v>16100</v>
      </c>
      <c r="E46" s="111">
        <f t="shared" si="26"/>
        <v>16200</v>
      </c>
      <c r="F46" s="111">
        <f t="shared" si="26"/>
        <v>16300.000000000002</v>
      </c>
      <c r="G46" s="111">
        <f t="shared" si="26"/>
        <v>16400.000000000004</v>
      </c>
      <c r="H46" s="111">
        <f t="shared" si="26"/>
        <v>16500.000000000004</v>
      </c>
      <c r="I46" s="111">
        <f t="shared" si="26"/>
        <v>16600.000000000004</v>
      </c>
      <c r="J46" s="111">
        <f t="shared" si="26"/>
        <v>16700.000000000004</v>
      </c>
      <c r="K46" s="111">
        <f t="shared" si="26"/>
        <v>16800.000000000004</v>
      </c>
      <c r="L46" s="111">
        <f t="shared" si="26"/>
        <v>16900.000000000004</v>
      </c>
      <c r="M46" s="111">
        <f t="shared" ref="M46:V55" si="27">0+((2000*(base_stat1+M$45)) * $B46)</f>
        <v>17000.000000000004</v>
      </c>
      <c r="N46" s="111">
        <f t="shared" si="27"/>
        <v>17100.000000000004</v>
      </c>
      <c r="O46" s="111">
        <f t="shared" si="27"/>
        <v>17200.000000000004</v>
      </c>
      <c r="P46" s="111">
        <f t="shared" si="27"/>
        <v>17300</v>
      </c>
      <c r="Q46" s="111">
        <f t="shared" si="27"/>
        <v>17400.000000000004</v>
      </c>
      <c r="R46" s="111">
        <f t="shared" si="27"/>
        <v>17500</v>
      </c>
      <c r="S46" s="111">
        <f t="shared" si="27"/>
        <v>17600</v>
      </c>
      <c r="T46" s="111">
        <f t="shared" si="27"/>
        <v>17700</v>
      </c>
      <c r="U46" s="111">
        <f t="shared" si="27"/>
        <v>17800</v>
      </c>
      <c r="V46" s="111">
        <f t="shared" si="27"/>
        <v>17900</v>
      </c>
      <c r="W46" s="114">
        <f t="shared" ref="W46:AF55" si="28">0+((2000*(base_stat1+W$45)) * $B46)</f>
        <v>18000</v>
      </c>
      <c r="X46" s="111">
        <f t="shared" si="28"/>
        <v>18100</v>
      </c>
      <c r="Y46" s="111">
        <f t="shared" si="28"/>
        <v>18200</v>
      </c>
      <c r="Z46" s="125">
        <f t="shared" si="28"/>
        <v>18300</v>
      </c>
      <c r="AA46" s="125">
        <f t="shared" si="28"/>
        <v>18400</v>
      </c>
      <c r="AB46" s="125">
        <f t="shared" si="28"/>
        <v>18500</v>
      </c>
      <c r="AC46" s="125">
        <f t="shared" si="28"/>
        <v>18600</v>
      </c>
      <c r="AD46" s="125">
        <f t="shared" si="28"/>
        <v>18700</v>
      </c>
      <c r="AE46" s="125">
        <f t="shared" si="28"/>
        <v>18800.000000000004</v>
      </c>
      <c r="AF46" s="125">
        <f t="shared" si="28"/>
        <v>18900.000000000004</v>
      </c>
      <c r="AG46" s="125">
        <f t="shared" ref="AG46:AP55" si="29">0+((2000*(base_stat1+AG$45)) * $B46)</f>
        <v>19000.000000000004</v>
      </c>
      <c r="AH46" s="125">
        <f t="shared" si="29"/>
        <v>19100.000000000004</v>
      </c>
      <c r="AI46" s="125">
        <f t="shared" si="29"/>
        <v>19200.000000000004</v>
      </c>
      <c r="AJ46" s="125">
        <f t="shared" si="29"/>
        <v>19300.000000000004</v>
      </c>
      <c r="AK46" s="125">
        <f t="shared" si="29"/>
        <v>19400.000000000004</v>
      </c>
      <c r="AL46" s="125">
        <f t="shared" si="29"/>
        <v>19500.000000000004</v>
      </c>
      <c r="AM46" s="125">
        <f t="shared" si="29"/>
        <v>19600</v>
      </c>
      <c r="AN46" s="125">
        <f t="shared" si="29"/>
        <v>19700.000000000004</v>
      </c>
      <c r="AO46" s="125">
        <f t="shared" si="29"/>
        <v>19800</v>
      </c>
      <c r="AP46" s="125">
        <f t="shared" si="29"/>
        <v>19900.000000000004</v>
      </c>
      <c r="AQ46" s="125">
        <f t="shared" ref="AQ46:AZ55" si="30">0+((2000*(base_stat1+AQ$45)) * $B46)</f>
        <v>20000</v>
      </c>
      <c r="AR46" s="125">
        <f t="shared" si="30"/>
        <v>20100.000000000004</v>
      </c>
      <c r="AS46" s="125">
        <f t="shared" si="30"/>
        <v>20200</v>
      </c>
      <c r="AT46" s="125">
        <f t="shared" si="30"/>
        <v>20300.000000000004</v>
      </c>
      <c r="AU46" s="125">
        <f t="shared" si="30"/>
        <v>20400</v>
      </c>
      <c r="AV46" s="125">
        <f t="shared" si="30"/>
        <v>20500.000000000004</v>
      </c>
      <c r="AW46" s="125">
        <f t="shared" si="30"/>
        <v>20600</v>
      </c>
      <c r="AX46" s="125">
        <f t="shared" si="30"/>
        <v>20700.000000000004</v>
      </c>
      <c r="AY46" s="125">
        <f t="shared" si="30"/>
        <v>20800</v>
      </c>
      <c r="AZ46" s="125">
        <f t="shared" si="30"/>
        <v>20900</v>
      </c>
    </row>
    <row r="47" spans="1:52" x14ac:dyDescent="0.2">
      <c r="A47" s="127">
        <v>2</v>
      </c>
      <c r="B47" s="113">
        <v>6</v>
      </c>
      <c r="C47" s="132">
        <f t="shared" si="26"/>
        <v>19200</v>
      </c>
      <c r="D47" s="132">
        <f t="shared" si="26"/>
        <v>19320</v>
      </c>
      <c r="E47" s="111">
        <f t="shared" si="26"/>
        <v>19440</v>
      </c>
      <c r="F47" s="111">
        <f t="shared" si="26"/>
        <v>19560.000000000004</v>
      </c>
      <c r="G47" s="111">
        <f t="shared" si="26"/>
        <v>19680.000000000004</v>
      </c>
      <c r="H47" s="111">
        <f t="shared" si="26"/>
        <v>19800.000000000004</v>
      </c>
      <c r="I47" s="111">
        <f t="shared" si="26"/>
        <v>19920.000000000004</v>
      </c>
      <c r="J47" s="111">
        <f t="shared" si="26"/>
        <v>20040.000000000004</v>
      </c>
      <c r="K47" s="111">
        <f t="shared" si="26"/>
        <v>20160.000000000004</v>
      </c>
      <c r="L47" s="111">
        <f t="shared" si="26"/>
        <v>20280.000000000004</v>
      </c>
      <c r="M47" s="111">
        <f t="shared" si="27"/>
        <v>20400.000000000004</v>
      </c>
      <c r="N47" s="111">
        <f t="shared" si="27"/>
        <v>20520.000000000004</v>
      </c>
      <c r="O47" s="111">
        <f t="shared" si="27"/>
        <v>20640.000000000004</v>
      </c>
      <c r="P47" s="111">
        <f t="shared" si="27"/>
        <v>20760</v>
      </c>
      <c r="Q47" s="111">
        <f t="shared" si="27"/>
        <v>20880.000000000004</v>
      </c>
      <c r="R47" s="111">
        <f t="shared" si="27"/>
        <v>21000</v>
      </c>
      <c r="S47" s="111">
        <f t="shared" si="27"/>
        <v>21120</v>
      </c>
      <c r="T47" s="111">
        <f t="shared" si="27"/>
        <v>21240</v>
      </c>
      <c r="U47" s="111">
        <f t="shared" si="27"/>
        <v>21360</v>
      </c>
      <c r="V47" s="111">
        <f t="shared" si="27"/>
        <v>21480</v>
      </c>
      <c r="W47" s="111">
        <f t="shared" si="28"/>
        <v>21600</v>
      </c>
      <c r="X47" s="111">
        <f t="shared" si="28"/>
        <v>21720</v>
      </c>
      <c r="Y47" s="111">
        <f t="shared" si="28"/>
        <v>21840</v>
      </c>
      <c r="Z47" s="125">
        <f t="shared" si="28"/>
        <v>21960</v>
      </c>
      <c r="AA47" s="125">
        <f t="shared" si="28"/>
        <v>22080</v>
      </c>
      <c r="AB47" s="125">
        <f t="shared" si="28"/>
        <v>22200</v>
      </c>
      <c r="AC47" s="125">
        <f t="shared" si="28"/>
        <v>22320</v>
      </c>
      <c r="AD47" s="125">
        <f t="shared" si="28"/>
        <v>22440</v>
      </c>
      <c r="AE47" s="125">
        <f t="shared" si="28"/>
        <v>22560.000000000004</v>
      </c>
      <c r="AF47" s="125">
        <f t="shared" si="28"/>
        <v>22680.000000000004</v>
      </c>
      <c r="AG47" s="125">
        <f t="shared" si="29"/>
        <v>22800.000000000004</v>
      </c>
      <c r="AH47" s="125">
        <f t="shared" si="29"/>
        <v>22920.000000000004</v>
      </c>
      <c r="AI47" s="125">
        <f t="shared" si="29"/>
        <v>23040.000000000004</v>
      </c>
      <c r="AJ47" s="125">
        <f t="shared" si="29"/>
        <v>23160.000000000004</v>
      </c>
      <c r="AK47" s="125">
        <f t="shared" si="29"/>
        <v>23280.000000000004</v>
      </c>
      <c r="AL47" s="125">
        <f t="shared" si="29"/>
        <v>23400.000000000004</v>
      </c>
      <c r="AM47" s="125">
        <f t="shared" si="29"/>
        <v>23520</v>
      </c>
      <c r="AN47" s="125">
        <f t="shared" si="29"/>
        <v>23640.000000000004</v>
      </c>
      <c r="AO47" s="125">
        <f t="shared" si="29"/>
        <v>23760</v>
      </c>
      <c r="AP47" s="125">
        <f t="shared" si="29"/>
        <v>23880.000000000004</v>
      </c>
      <c r="AQ47" s="125">
        <f t="shared" si="30"/>
        <v>24000</v>
      </c>
      <c r="AR47" s="125">
        <f t="shared" si="30"/>
        <v>24120.000000000004</v>
      </c>
      <c r="AS47" s="125">
        <f t="shared" si="30"/>
        <v>24240</v>
      </c>
      <c r="AT47" s="125">
        <f t="shared" si="30"/>
        <v>24360.000000000004</v>
      </c>
      <c r="AU47" s="125">
        <f t="shared" si="30"/>
        <v>24480</v>
      </c>
      <c r="AV47" s="125">
        <f t="shared" si="30"/>
        <v>24600.000000000007</v>
      </c>
      <c r="AW47" s="125">
        <f t="shared" si="30"/>
        <v>24720</v>
      </c>
      <c r="AX47" s="125">
        <f t="shared" si="30"/>
        <v>24840.000000000007</v>
      </c>
      <c r="AY47" s="125">
        <f t="shared" si="30"/>
        <v>24960</v>
      </c>
      <c r="AZ47" s="125">
        <f t="shared" si="30"/>
        <v>25080</v>
      </c>
    </row>
    <row r="48" spans="1:52" x14ac:dyDescent="0.2">
      <c r="A48" s="127">
        <v>3</v>
      </c>
      <c r="B48" s="113">
        <v>7</v>
      </c>
      <c r="C48" s="132">
        <f t="shared" si="26"/>
        <v>22400</v>
      </c>
      <c r="D48" s="132">
        <f t="shared" si="26"/>
        <v>22540</v>
      </c>
      <c r="E48" s="132">
        <f t="shared" si="26"/>
        <v>22680</v>
      </c>
      <c r="F48" s="111">
        <f t="shared" si="26"/>
        <v>22820.000000000004</v>
      </c>
      <c r="G48" s="111">
        <f t="shared" si="26"/>
        <v>22960.000000000004</v>
      </c>
      <c r="H48" s="111">
        <f t="shared" si="26"/>
        <v>23100.000000000004</v>
      </c>
      <c r="I48" s="111">
        <f t="shared" si="26"/>
        <v>23240.000000000004</v>
      </c>
      <c r="J48" s="111">
        <f t="shared" si="26"/>
        <v>23380.000000000004</v>
      </c>
      <c r="K48" s="111">
        <f t="shared" si="26"/>
        <v>23520.000000000004</v>
      </c>
      <c r="L48" s="111">
        <f t="shared" si="26"/>
        <v>23660.000000000004</v>
      </c>
      <c r="M48" s="111">
        <f t="shared" si="27"/>
        <v>23800.000000000004</v>
      </c>
      <c r="N48" s="111">
        <f t="shared" si="27"/>
        <v>23940.000000000004</v>
      </c>
      <c r="O48" s="111">
        <f t="shared" si="27"/>
        <v>24080.000000000004</v>
      </c>
      <c r="P48" s="111">
        <f t="shared" si="27"/>
        <v>24220</v>
      </c>
      <c r="Q48" s="111">
        <f t="shared" si="27"/>
        <v>24360.000000000004</v>
      </c>
      <c r="R48" s="111">
        <f t="shared" si="27"/>
        <v>24500</v>
      </c>
      <c r="S48" s="111">
        <f t="shared" si="27"/>
        <v>24640</v>
      </c>
      <c r="T48" s="111">
        <f t="shared" si="27"/>
        <v>24780</v>
      </c>
      <c r="U48" s="111">
        <f t="shared" si="27"/>
        <v>24920</v>
      </c>
      <c r="V48" s="111">
        <f t="shared" si="27"/>
        <v>25060</v>
      </c>
      <c r="W48" s="111">
        <f t="shared" si="28"/>
        <v>25200</v>
      </c>
      <c r="X48" s="111">
        <f t="shared" si="28"/>
        <v>25340</v>
      </c>
      <c r="Y48" s="111">
        <f t="shared" si="28"/>
        <v>25480</v>
      </c>
      <c r="Z48" s="125">
        <f t="shared" si="28"/>
        <v>25620</v>
      </c>
      <c r="AA48" s="125">
        <f t="shared" si="28"/>
        <v>25760</v>
      </c>
      <c r="AB48" s="125">
        <f t="shared" si="28"/>
        <v>25900</v>
      </c>
      <c r="AC48" s="125">
        <f t="shared" si="28"/>
        <v>26040</v>
      </c>
      <c r="AD48" s="125">
        <f t="shared" si="28"/>
        <v>26180</v>
      </c>
      <c r="AE48" s="125">
        <f t="shared" si="28"/>
        <v>26320.000000000004</v>
      </c>
      <c r="AF48" s="125">
        <f t="shared" si="28"/>
        <v>26460.000000000004</v>
      </c>
      <c r="AG48" s="125">
        <f t="shared" si="29"/>
        <v>26600.000000000004</v>
      </c>
      <c r="AH48" s="125">
        <f t="shared" si="29"/>
        <v>26740.000000000004</v>
      </c>
      <c r="AI48" s="125">
        <f t="shared" si="29"/>
        <v>26880.000000000004</v>
      </c>
      <c r="AJ48" s="125">
        <f t="shared" si="29"/>
        <v>27020.000000000004</v>
      </c>
      <c r="AK48" s="125">
        <f t="shared" si="29"/>
        <v>27160.000000000004</v>
      </c>
      <c r="AL48" s="125">
        <f t="shared" si="29"/>
        <v>27300.000000000004</v>
      </c>
      <c r="AM48" s="125">
        <f t="shared" si="29"/>
        <v>27440</v>
      </c>
      <c r="AN48" s="125">
        <f t="shared" si="29"/>
        <v>27580.000000000004</v>
      </c>
      <c r="AO48" s="125">
        <f t="shared" si="29"/>
        <v>27720</v>
      </c>
      <c r="AP48" s="125">
        <f t="shared" si="29"/>
        <v>27860.000000000004</v>
      </c>
      <c r="AQ48" s="125">
        <f t="shared" si="30"/>
        <v>28000</v>
      </c>
      <c r="AR48" s="125">
        <f t="shared" si="30"/>
        <v>28140.000000000004</v>
      </c>
      <c r="AS48" s="125">
        <f t="shared" si="30"/>
        <v>28280</v>
      </c>
      <c r="AT48" s="125">
        <f t="shared" si="30"/>
        <v>28420.000000000004</v>
      </c>
      <c r="AU48" s="125">
        <f t="shared" si="30"/>
        <v>28560</v>
      </c>
      <c r="AV48" s="125">
        <f t="shared" si="30"/>
        <v>28700.000000000007</v>
      </c>
      <c r="AW48" s="125">
        <f t="shared" si="30"/>
        <v>28840</v>
      </c>
      <c r="AX48" s="125">
        <f t="shared" si="30"/>
        <v>28980.000000000007</v>
      </c>
      <c r="AY48" s="125">
        <f t="shared" si="30"/>
        <v>29120</v>
      </c>
      <c r="AZ48" s="125">
        <f t="shared" si="30"/>
        <v>29260</v>
      </c>
    </row>
    <row r="49" spans="1:52" x14ac:dyDescent="0.2">
      <c r="A49" s="127">
        <v>4</v>
      </c>
      <c r="B49" s="113">
        <v>8</v>
      </c>
      <c r="C49" s="132">
        <f t="shared" si="26"/>
        <v>25600</v>
      </c>
      <c r="D49" s="132">
        <f t="shared" si="26"/>
        <v>25760</v>
      </c>
      <c r="E49" s="132">
        <f t="shared" si="26"/>
        <v>25920</v>
      </c>
      <c r="F49" s="132">
        <f t="shared" si="26"/>
        <v>26080.000000000004</v>
      </c>
      <c r="G49" s="132">
        <f t="shared" si="26"/>
        <v>26240.000000000004</v>
      </c>
      <c r="H49" s="111">
        <f t="shared" si="26"/>
        <v>26400.000000000004</v>
      </c>
      <c r="I49" s="111">
        <f t="shared" si="26"/>
        <v>26560.000000000004</v>
      </c>
      <c r="J49" s="111">
        <f t="shared" si="26"/>
        <v>26720.000000000004</v>
      </c>
      <c r="K49" s="111">
        <f t="shared" si="26"/>
        <v>26880.000000000004</v>
      </c>
      <c r="L49" s="111">
        <f t="shared" si="26"/>
        <v>27040.000000000004</v>
      </c>
      <c r="M49" s="111">
        <f t="shared" si="27"/>
        <v>27200.000000000004</v>
      </c>
      <c r="N49" s="111">
        <f t="shared" si="27"/>
        <v>27360.000000000004</v>
      </c>
      <c r="O49" s="111">
        <f t="shared" si="27"/>
        <v>27520.000000000004</v>
      </c>
      <c r="P49" s="111">
        <f t="shared" si="27"/>
        <v>27680</v>
      </c>
      <c r="Q49" s="111">
        <f t="shared" si="27"/>
        <v>27840.000000000004</v>
      </c>
      <c r="R49" s="111">
        <f t="shared" si="27"/>
        <v>28000</v>
      </c>
      <c r="S49" s="111">
        <f t="shared" si="27"/>
        <v>28160</v>
      </c>
      <c r="T49" s="111">
        <f t="shared" si="27"/>
        <v>28320</v>
      </c>
      <c r="U49" s="111">
        <f t="shared" si="27"/>
        <v>28480</v>
      </c>
      <c r="V49" s="111">
        <f t="shared" si="27"/>
        <v>28640</v>
      </c>
      <c r="W49" s="111">
        <f t="shared" si="28"/>
        <v>28800</v>
      </c>
      <c r="X49" s="111">
        <f t="shared" si="28"/>
        <v>28960</v>
      </c>
      <c r="Y49" s="111">
        <f t="shared" si="28"/>
        <v>29120</v>
      </c>
      <c r="Z49" s="125">
        <f t="shared" si="28"/>
        <v>29280</v>
      </c>
      <c r="AA49" s="125">
        <f t="shared" si="28"/>
        <v>29440</v>
      </c>
      <c r="AB49" s="125">
        <f t="shared" si="28"/>
        <v>29600</v>
      </c>
      <c r="AC49" s="125">
        <f t="shared" si="28"/>
        <v>29760</v>
      </c>
      <c r="AD49" s="125">
        <f t="shared" si="28"/>
        <v>29920</v>
      </c>
      <c r="AE49" s="125">
        <f t="shared" si="28"/>
        <v>30080.000000000004</v>
      </c>
      <c r="AF49" s="125">
        <f t="shared" si="28"/>
        <v>30240.000000000004</v>
      </c>
      <c r="AG49" s="125">
        <f t="shared" si="29"/>
        <v>30400.000000000004</v>
      </c>
      <c r="AH49" s="125">
        <f t="shared" si="29"/>
        <v>30560.000000000004</v>
      </c>
      <c r="AI49" s="125">
        <f t="shared" si="29"/>
        <v>30720.000000000004</v>
      </c>
      <c r="AJ49" s="125">
        <f t="shared" si="29"/>
        <v>30880.000000000004</v>
      </c>
      <c r="AK49" s="125">
        <f t="shared" si="29"/>
        <v>31040.000000000004</v>
      </c>
      <c r="AL49" s="125">
        <f t="shared" si="29"/>
        <v>31200.000000000004</v>
      </c>
      <c r="AM49" s="125">
        <f t="shared" si="29"/>
        <v>31360</v>
      </c>
      <c r="AN49" s="125">
        <f t="shared" si="29"/>
        <v>31520.000000000004</v>
      </c>
      <c r="AO49" s="125">
        <f t="shared" si="29"/>
        <v>31680</v>
      </c>
      <c r="AP49" s="125">
        <f t="shared" si="29"/>
        <v>31840.000000000004</v>
      </c>
      <c r="AQ49" s="125">
        <f t="shared" si="30"/>
        <v>32000</v>
      </c>
      <c r="AR49" s="125">
        <f t="shared" si="30"/>
        <v>32160.000000000004</v>
      </c>
      <c r="AS49" s="125">
        <f t="shared" si="30"/>
        <v>32320</v>
      </c>
      <c r="AT49" s="125">
        <f t="shared" si="30"/>
        <v>32480.000000000004</v>
      </c>
      <c r="AU49" s="125">
        <f t="shared" si="30"/>
        <v>32640</v>
      </c>
      <c r="AV49" s="125">
        <f t="shared" si="30"/>
        <v>32800.000000000007</v>
      </c>
      <c r="AW49" s="125">
        <f t="shared" si="30"/>
        <v>32960</v>
      </c>
      <c r="AX49" s="125">
        <f t="shared" si="30"/>
        <v>33120.000000000007</v>
      </c>
      <c r="AY49" s="125">
        <f t="shared" si="30"/>
        <v>33280</v>
      </c>
      <c r="AZ49" s="125">
        <f t="shared" si="30"/>
        <v>33440</v>
      </c>
    </row>
    <row r="50" spans="1:52" x14ac:dyDescent="0.2">
      <c r="A50" s="127">
        <v>5</v>
      </c>
      <c r="B50" s="113">
        <v>9</v>
      </c>
      <c r="C50" s="132">
        <f t="shared" si="26"/>
        <v>28800</v>
      </c>
      <c r="D50" s="132">
        <f t="shared" si="26"/>
        <v>28980</v>
      </c>
      <c r="E50" s="132">
        <f t="shared" si="26"/>
        <v>29160</v>
      </c>
      <c r="F50" s="132">
        <f t="shared" si="26"/>
        <v>29340.000000000004</v>
      </c>
      <c r="G50" s="132">
        <f t="shared" si="26"/>
        <v>29520.000000000004</v>
      </c>
      <c r="H50" s="132">
        <f t="shared" si="26"/>
        <v>29700.000000000004</v>
      </c>
      <c r="I50" s="111">
        <f t="shared" si="26"/>
        <v>29880.000000000004</v>
      </c>
      <c r="J50" s="111">
        <f t="shared" si="26"/>
        <v>30060.000000000004</v>
      </c>
      <c r="K50" s="111">
        <f t="shared" si="26"/>
        <v>30240.000000000004</v>
      </c>
      <c r="L50" s="111">
        <f t="shared" si="26"/>
        <v>30420.000000000004</v>
      </c>
      <c r="M50" s="111">
        <f t="shared" si="27"/>
        <v>30600.000000000004</v>
      </c>
      <c r="N50" s="111">
        <f t="shared" si="27"/>
        <v>30780.000000000004</v>
      </c>
      <c r="O50" s="111">
        <f t="shared" si="27"/>
        <v>30960.000000000004</v>
      </c>
      <c r="P50" s="111">
        <f t="shared" si="27"/>
        <v>31140</v>
      </c>
      <c r="Q50" s="111">
        <f t="shared" si="27"/>
        <v>31320.000000000004</v>
      </c>
      <c r="R50" s="111">
        <f t="shared" si="27"/>
        <v>31500</v>
      </c>
      <c r="S50" s="111">
        <f t="shared" si="27"/>
        <v>31680</v>
      </c>
      <c r="T50" s="111">
        <f t="shared" si="27"/>
        <v>31860</v>
      </c>
      <c r="U50" s="111">
        <f t="shared" si="27"/>
        <v>32040</v>
      </c>
      <c r="V50" s="111">
        <f t="shared" si="27"/>
        <v>32220</v>
      </c>
      <c r="W50" s="111">
        <f t="shared" si="28"/>
        <v>32400</v>
      </c>
      <c r="X50" s="111">
        <f t="shared" si="28"/>
        <v>32580</v>
      </c>
      <c r="Y50" s="111">
        <f t="shared" si="28"/>
        <v>32760</v>
      </c>
      <c r="Z50" s="125">
        <f t="shared" si="28"/>
        <v>32940</v>
      </c>
      <c r="AA50" s="125">
        <f t="shared" si="28"/>
        <v>33120</v>
      </c>
      <c r="AB50" s="125">
        <f t="shared" si="28"/>
        <v>33300</v>
      </c>
      <c r="AC50" s="125">
        <f t="shared" si="28"/>
        <v>33480</v>
      </c>
      <c r="AD50" s="125">
        <f t="shared" si="28"/>
        <v>33660</v>
      </c>
      <c r="AE50" s="125">
        <f t="shared" si="28"/>
        <v>33840.000000000007</v>
      </c>
      <c r="AF50" s="125">
        <f t="shared" si="28"/>
        <v>34020.000000000007</v>
      </c>
      <c r="AG50" s="125">
        <f t="shared" si="29"/>
        <v>34200.000000000007</v>
      </c>
      <c r="AH50" s="125">
        <f t="shared" si="29"/>
        <v>34380.000000000007</v>
      </c>
      <c r="AI50" s="125">
        <f t="shared" si="29"/>
        <v>34560.000000000007</v>
      </c>
      <c r="AJ50" s="125">
        <f t="shared" si="29"/>
        <v>34740.000000000007</v>
      </c>
      <c r="AK50" s="125">
        <f t="shared" si="29"/>
        <v>34920.000000000007</v>
      </c>
      <c r="AL50" s="125">
        <f t="shared" si="29"/>
        <v>35100.000000000007</v>
      </c>
      <c r="AM50" s="125">
        <f t="shared" si="29"/>
        <v>35280</v>
      </c>
      <c r="AN50" s="125">
        <f t="shared" si="29"/>
        <v>35460.000000000007</v>
      </c>
      <c r="AO50" s="125">
        <f t="shared" si="29"/>
        <v>35640</v>
      </c>
      <c r="AP50" s="125">
        <f t="shared" si="29"/>
        <v>35820.000000000007</v>
      </c>
      <c r="AQ50" s="125">
        <f t="shared" si="30"/>
        <v>36000</v>
      </c>
      <c r="AR50" s="125">
        <f t="shared" si="30"/>
        <v>36180.000000000007</v>
      </c>
      <c r="AS50" s="125">
        <f t="shared" si="30"/>
        <v>36360</v>
      </c>
      <c r="AT50" s="125">
        <f t="shared" si="30"/>
        <v>36540.000000000007</v>
      </c>
      <c r="AU50" s="125">
        <f t="shared" si="30"/>
        <v>36720</v>
      </c>
      <c r="AV50" s="125">
        <f t="shared" si="30"/>
        <v>36900.000000000007</v>
      </c>
      <c r="AW50" s="125">
        <f t="shared" si="30"/>
        <v>37080</v>
      </c>
      <c r="AX50" s="125">
        <f t="shared" si="30"/>
        <v>37260.000000000007</v>
      </c>
      <c r="AY50" s="125">
        <f t="shared" si="30"/>
        <v>37440</v>
      </c>
      <c r="AZ50" s="125">
        <f t="shared" si="30"/>
        <v>37620</v>
      </c>
    </row>
    <row r="51" spans="1:52" x14ac:dyDescent="0.2">
      <c r="A51" s="127">
        <v>6</v>
      </c>
      <c r="B51" s="113">
        <v>10</v>
      </c>
      <c r="C51" s="132">
        <f t="shared" si="26"/>
        <v>32000</v>
      </c>
      <c r="D51" s="132">
        <f t="shared" si="26"/>
        <v>32200</v>
      </c>
      <c r="E51" s="132">
        <f t="shared" si="26"/>
        <v>32400</v>
      </c>
      <c r="F51" s="132">
        <f t="shared" si="26"/>
        <v>32600.000000000004</v>
      </c>
      <c r="G51" s="132">
        <f t="shared" si="26"/>
        <v>32800.000000000007</v>
      </c>
      <c r="H51" s="132">
        <f t="shared" si="26"/>
        <v>33000.000000000007</v>
      </c>
      <c r="I51" s="132">
        <f t="shared" si="26"/>
        <v>33200.000000000007</v>
      </c>
      <c r="J51" s="132">
        <f t="shared" si="26"/>
        <v>33400.000000000007</v>
      </c>
      <c r="K51" s="111">
        <f t="shared" si="26"/>
        <v>33600.000000000007</v>
      </c>
      <c r="L51" s="111">
        <f t="shared" si="26"/>
        <v>33800.000000000007</v>
      </c>
      <c r="M51" s="111">
        <f t="shared" si="27"/>
        <v>34000.000000000007</v>
      </c>
      <c r="N51" s="111">
        <f t="shared" si="27"/>
        <v>34200.000000000007</v>
      </c>
      <c r="O51" s="111">
        <f t="shared" si="27"/>
        <v>34400.000000000007</v>
      </c>
      <c r="P51" s="111">
        <f t="shared" si="27"/>
        <v>34600</v>
      </c>
      <c r="Q51" s="111">
        <f t="shared" si="27"/>
        <v>34800.000000000007</v>
      </c>
      <c r="R51" s="111">
        <f t="shared" si="27"/>
        <v>35000</v>
      </c>
      <c r="S51" s="111">
        <f t="shared" si="27"/>
        <v>35200</v>
      </c>
      <c r="T51" s="111">
        <f t="shared" si="27"/>
        <v>35400</v>
      </c>
      <c r="U51" s="111">
        <f t="shared" si="27"/>
        <v>35600</v>
      </c>
      <c r="V51" s="111">
        <f t="shared" si="27"/>
        <v>35800</v>
      </c>
      <c r="W51" s="111">
        <f t="shared" si="28"/>
        <v>36000</v>
      </c>
      <c r="X51" s="111">
        <f t="shared" si="28"/>
        <v>36200</v>
      </c>
      <c r="Y51" s="111">
        <f t="shared" si="28"/>
        <v>36400</v>
      </c>
      <c r="Z51" s="125">
        <f t="shared" si="28"/>
        <v>36600</v>
      </c>
      <c r="AA51" s="125">
        <f t="shared" si="28"/>
        <v>36800</v>
      </c>
      <c r="AB51" s="125">
        <f t="shared" si="28"/>
        <v>37000</v>
      </c>
      <c r="AC51" s="125">
        <f t="shared" si="28"/>
        <v>37200</v>
      </c>
      <c r="AD51" s="125">
        <f t="shared" si="28"/>
        <v>37400</v>
      </c>
      <c r="AE51" s="125">
        <f t="shared" si="28"/>
        <v>37600.000000000007</v>
      </c>
      <c r="AF51" s="125">
        <f t="shared" si="28"/>
        <v>37800.000000000007</v>
      </c>
      <c r="AG51" s="125">
        <f t="shared" si="29"/>
        <v>38000.000000000007</v>
      </c>
      <c r="AH51" s="125">
        <f t="shared" si="29"/>
        <v>38200.000000000007</v>
      </c>
      <c r="AI51" s="125">
        <f t="shared" si="29"/>
        <v>38400.000000000007</v>
      </c>
      <c r="AJ51" s="125">
        <f t="shared" si="29"/>
        <v>38600.000000000007</v>
      </c>
      <c r="AK51" s="125">
        <f t="shared" si="29"/>
        <v>38800.000000000007</v>
      </c>
      <c r="AL51" s="125">
        <f t="shared" si="29"/>
        <v>39000.000000000007</v>
      </c>
      <c r="AM51" s="125">
        <f t="shared" si="29"/>
        <v>39200</v>
      </c>
      <c r="AN51" s="125">
        <f t="shared" si="29"/>
        <v>39400.000000000007</v>
      </c>
      <c r="AO51" s="125">
        <f t="shared" si="29"/>
        <v>39600</v>
      </c>
      <c r="AP51" s="125">
        <f t="shared" si="29"/>
        <v>39800.000000000007</v>
      </c>
      <c r="AQ51" s="125">
        <f t="shared" si="30"/>
        <v>40000</v>
      </c>
      <c r="AR51" s="125">
        <f t="shared" si="30"/>
        <v>40200.000000000007</v>
      </c>
      <c r="AS51" s="125">
        <f t="shared" si="30"/>
        <v>40400</v>
      </c>
      <c r="AT51" s="125">
        <f t="shared" si="30"/>
        <v>40600.000000000007</v>
      </c>
      <c r="AU51" s="125">
        <f t="shared" si="30"/>
        <v>40800</v>
      </c>
      <c r="AV51" s="125">
        <f t="shared" si="30"/>
        <v>41000.000000000007</v>
      </c>
      <c r="AW51" s="125">
        <f t="shared" si="30"/>
        <v>41200</v>
      </c>
      <c r="AX51" s="125">
        <f t="shared" si="30"/>
        <v>41400.000000000007</v>
      </c>
      <c r="AY51" s="125">
        <f t="shared" si="30"/>
        <v>41600</v>
      </c>
      <c r="AZ51" s="125">
        <f t="shared" si="30"/>
        <v>41800</v>
      </c>
    </row>
    <row r="52" spans="1:52" x14ac:dyDescent="0.2">
      <c r="A52" s="127">
        <v>7</v>
      </c>
      <c r="B52" s="113">
        <v>11</v>
      </c>
      <c r="C52" s="132">
        <f t="shared" si="26"/>
        <v>35200</v>
      </c>
      <c r="D52" s="132">
        <f t="shared" si="26"/>
        <v>35420</v>
      </c>
      <c r="E52" s="132">
        <f t="shared" si="26"/>
        <v>35640</v>
      </c>
      <c r="F52" s="132">
        <f t="shared" si="26"/>
        <v>35860.000000000007</v>
      </c>
      <c r="G52" s="132">
        <f t="shared" si="26"/>
        <v>36080.000000000007</v>
      </c>
      <c r="H52" s="132">
        <f t="shared" si="26"/>
        <v>36300.000000000007</v>
      </c>
      <c r="I52" s="132">
        <f t="shared" si="26"/>
        <v>36520.000000000007</v>
      </c>
      <c r="J52" s="132">
        <f t="shared" si="26"/>
        <v>36740.000000000007</v>
      </c>
      <c r="K52" s="132">
        <f t="shared" si="26"/>
        <v>36960.000000000007</v>
      </c>
      <c r="L52" s="114">
        <f t="shared" si="26"/>
        <v>37180.000000000007</v>
      </c>
      <c r="M52" s="111">
        <f t="shared" si="27"/>
        <v>37400.000000000007</v>
      </c>
      <c r="N52" s="111">
        <f t="shared" si="27"/>
        <v>37620.000000000007</v>
      </c>
      <c r="O52" s="111">
        <f t="shared" si="27"/>
        <v>37840.000000000007</v>
      </c>
      <c r="P52" s="111">
        <f t="shared" si="27"/>
        <v>38060</v>
      </c>
      <c r="Q52" s="111">
        <f t="shared" si="27"/>
        <v>38280.000000000007</v>
      </c>
      <c r="R52" s="111">
        <f t="shared" si="27"/>
        <v>38500</v>
      </c>
      <c r="S52" s="111">
        <f t="shared" si="27"/>
        <v>38720</v>
      </c>
      <c r="T52" s="111">
        <f t="shared" si="27"/>
        <v>38940</v>
      </c>
      <c r="U52" s="111">
        <f t="shared" si="27"/>
        <v>39160</v>
      </c>
      <c r="V52" s="111">
        <f t="shared" si="27"/>
        <v>39380</v>
      </c>
      <c r="W52" s="111">
        <f t="shared" si="28"/>
        <v>39600</v>
      </c>
      <c r="X52" s="111">
        <f t="shared" si="28"/>
        <v>39820</v>
      </c>
      <c r="Y52" s="111">
        <f t="shared" si="28"/>
        <v>40040</v>
      </c>
      <c r="Z52" s="125">
        <f t="shared" si="28"/>
        <v>40260</v>
      </c>
      <c r="AA52" s="125">
        <f t="shared" si="28"/>
        <v>40480</v>
      </c>
      <c r="AB52" s="125">
        <f t="shared" si="28"/>
        <v>40700</v>
      </c>
      <c r="AC52" s="125">
        <f t="shared" si="28"/>
        <v>40920</v>
      </c>
      <c r="AD52" s="125">
        <f t="shared" si="28"/>
        <v>41140</v>
      </c>
      <c r="AE52" s="125">
        <f t="shared" si="28"/>
        <v>41360.000000000007</v>
      </c>
      <c r="AF52" s="125">
        <f t="shared" si="28"/>
        <v>41580.000000000007</v>
      </c>
      <c r="AG52" s="125">
        <f t="shared" si="29"/>
        <v>41800.000000000007</v>
      </c>
      <c r="AH52" s="125">
        <f t="shared" si="29"/>
        <v>42020.000000000007</v>
      </c>
      <c r="AI52" s="125">
        <f t="shared" si="29"/>
        <v>42240.000000000007</v>
      </c>
      <c r="AJ52" s="125">
        <f t="shared" si="29"/>
        <v>42460.000000000007</v>
      </c>
      <c r="AK52" s="125">
        <f t="shared" si="29"/>
        <v>42680.000000000007</v>
      </c>
      <c r="AL52" s="125">
        <f t="shared" si="29"/>
        <v>42900.000000000007</v>
      </c>
      <c r="AM52" s="125">
        <f t="shared" si="29"/>
        <v>43120</v>
      </c>
      <c r="AN52" s="125">
        <f t="shared" si="29"/>
        <v>43340.000000000007</v>
      </c>
      <c r="AO52" s="125">
        <f t="shared" si="29"/>
        <v>43560</v>
      </c>
      <c r="AP52" s="125">
        <f t="shared" si="29"/>
        <v>43780.000000000007</v>
      </c>
      <c r="AQ52" s="125">
        <f t="shared" si="30"/>
        <v>44000</v>
      </c>
      <c r="AR52" s="125">
        <f t="shared" si="30"/>
        <v>44220.000000000007</v>
      </c>
      <c r="AS52" s="125">
        <f t="shared" si="30"/>
        <v>44440</v>
      </c>
      <c r="AT52" s="125">
        <f t="shared" si="30"/>
        <v>44660.000000000007</v>
      </c>
      <c r="AU52" s="125">
        <f t="shared" si="30"/>
        <v>44880</v>
      </c>
      <c r="AV52" s="125">
        <f t="shared" si="30"/>
        <v>45100.000000000007</v>
      </c>
      <c r="AW52" s="125">
        <f t="shared" si="30"/>
        <v>45320</v>
      </c>
      <c r="AX52" s="125">
        <f t="shared" si="30"/>
        <v>45540.000000000007</v>
      </c>
      <c r="AY52" s="125">
        <f t="shared" si="30"/>
        <v>45760</v>
      </c>
      <c r="AZ52" s="125">
        <f t="shared" si="30"/>
        <v>45980</v>
      </c>
    </row>
    <row r="53" spans="1:52" x14ac:dyDescent="0.2">
      <c r="A53" s="127">
        <v>8</v>
      </c>
      <c r="B53" s="113">
        <v>12</v>
      </c>
      <c r="C53" s="132">
        <f t="shared" si="26"/>
        <v>38400</v>
      </c>
      <c r="D53" s="132">
        <f t="shared" si="26"/>
        <v>38640</v>
      </c>
      <c r="E53" s="132">
        <f t="shared" si="26"/>
        <v>38880</v>
      </c>
      <c r="F53" s="132">
        <f t="shared" si="26"/>
        <v>39120.000000000007</v>
      </c>
      <c r="G53" s="132">
        <f t="shared" si="26"/>
        <v>39360.000000000007</v>
      </c>
      <c r="H53" s="132">
        <f t="shared" si="26"/>
        <v>39600.000000000007</v>
      </c>
      <c r="I53" s="132">
        <f t="shared" si="26"/>
        <v>39840.000000000007</v>
      </c>
      <c r="J53" s="132">
        <f t="shared" si="26"/>
        <v>40080.000000000007</v>
      </c>
      <c r="K53" s="132">
        <f t="shared" si="26"/>
        <v>40320.000000000007</v>
      </c>
      <c r="L53" s="115">
        <f t="shared" si="26"/>
        <v>40560.000000000007</v>
      </c>
      <c r="M53" s="132">
        <f t="shared" si="27"/>
        <v>40800.000000000007</v>
      </c>
      <c r="N53" s="111">
        <f t="shared" si="27"/>
        <v>41040.000000000007</v>
      </c>
      <c r="O53" s="111">
        <f t="shared" si="27"/>
        <v>41280.000000000007</v>
      </c>
      <c r="P53" s="111">
        <f t="shared" si="27"/>
        <v>41520</v>
      </c>
      <c r="Q53" s="111">
        <f t="shared" si="27"/>
        <v>41760.000000000007</v>
      </c>
      <c r="R53" s="111">
        <f t="shared" si="27"/>
        <v>42000</v>
      </c>
      <c r="S53" s="111">
        <f t="shared" si="27"/>
        <v>42240</v>
      </c>
      <c r="T53" s="111">
        <f t="shared" si="27"/>
        <v>42480</v>
      </c>
      <c r="U53" s="111">
        <f t="shared" si="27"/>
        <v>42720</v>
      </c>
      <c r="V53" s="111">
        <f t="shared" si="27"/>
        <v>42960</v>
      </c>
      <c r="W53" s="111">
        <f t="shared" si="28"/>
        <v>43200</v>
      </c>
      <c r="X53" s="111">
        <f t="shared" si="28"/>
        <v>43440</v>
      </c>
      <c r="Y53" s="111">
        <f t="shared" si="28"/>
        <v>43680</v>
      </c>
      <c r="Z53" s="125">
        <f t="shared" si="28"/>
        <v>43920</v>
      </c>
      <c r="AA53" s="125">
        <f t="shared" si="28"/>
        <v>44160</v>
      </c>
      <c r="AB53" s="125">
        <f t="shared" si="28"/>
        <v>44400</v>
      </c>
      <c r="AC53" s="125">
        <f t="shared" si="28"/>
        <v>44640</v>
      </c>
      <c r="AD53" s="125">
        <f t="shared" si="28"/>
        <v>44880</v>
      </c>
      <c r="AE53" s="125">
        <f t="shared" si="28"/>
        <v>45120.000000000007</v>
      </c>
      <c r="AF53" s="125">
        <f t="shared" si="28"/>
        <v>45360.000000000007</v>
      </c>
      <c r="AG53" s="125">
        <f t="shared" si="29"/>
        <v>45600.000000000007</v>
      </c>
      <c r="AH53" s="125">
        <f t="shared" si="29"/>
        <v>45840.000000000007</v>
      </c>
      <c r="AI53" s="125">
        <f t="shared" si="29"/>
        <v>46080.000000000007</v>
      </c>
      <c r="AJ53" s="125">
        <f t="shared" si="29"/>
        <v>46320.000000000007</v>
      </c>
      <c r="AK53" s="125">
        <f t="shared" si="29"/>
        <v>46560.000000000007</v>
      </c>
      <c r="AL53" s="125">
        <f t="shared" si="29"/>
        <v>46800.000000000007</v>
      </c>
      <c r="AM53" s="125">
        <f t="shared" si="29"/>
        <v>47040</v>
      </c>
      <c r="AN53" s="125">
        <f t="shared" si="29"/>
        <v>47280.000000000007</v>
      </c>
      <c r="AO53" s="125">
        <f t="shared" si="29"/>
        <v>47520</v>
      </c>
      <c r="AP53" s="125">
        <f t="shared" si="29"/>
        <v>47760.000000000007</v>
      </c>
      <c r="AQ53" s="125">
        <f t="shared" si="30"/>
        <v>48000</v>
      </c>
      <c r="AR53" s="125">
        <f t="shared" si="30"/>
        <v>48240.000000000007</v>
      </c>
      <c r="AS53" s="125">
        <f t="shared" si="30"/>
        <v>48480</v>
      </c>
      <c r="AT53" s="125">
        <f t="shared" si="30"/>
        <v>48720.000000000007</v>
      </c>
      <c r="AU53" s="125">
        <f t="shared" si="30"/>
        <v>48960</v>
      </c>
      <c r="AV53" s="125">
        <f t="shared" si="30"/>
        <v>49200.000000000015</v>
      </c>
      <c r="AW53" s="125">
        <f t="shared" si="30"/>
        <v>49440</v>
      </c>
      <c r="AX53" s="125">
        <f t="shared" si="30"/>
        <v>49680.000000000015</v>
      </c>
      <c r="AY53" s="125">
        <f t="shared" si="30"/>
        <v>49920</v>
      </c>
      <c r="AZ53" s="125">
        <f t="shared" si="30"/>
        <v>50160</v>
      </c>
    </row>
    <row r="54" spans="1:52" x14ac:dyDescent="0.2">
      <c r="A54" s="127">
        <v>9</v>
      </c>
      <c r="B54" s="113">
        <v>13</v>
      </c>
      <c r="C54" s="132">
        <f t="shared" si="26"/>
        <v>41600</v>
      </c>
      <c r="D54" s="132">
        <f t="shared" si="26"/>
        <v>41860</v>
      </c>
      <c r="E54" s="132">
        <f t="shared" si="26"/>
        <v>42120</v>
      </c>
      <c r="F54" s="132">
        <f t="shared" si="26"/>
        <v>42380.000000000007</v>
      </c>
      <c r="G54" s="132">
        <f t="shared" si="26"/>
        <v>42640.000000000007</v>
      </c>
      <c r="H54" s="132">
        <f t="shared" si="26"/>
        <v>42900.000000000007</v>
      </c>
      <c r="I54" s="132">
        <f t="shared" si="26"/>
        <v>43160.000000000007</v>
      </c>
      <c r="J54" s="132">
        <f t="shared" si="26"/>
        <v>43420.000000000007</v>
      </c>
      <c r="K54" s="132">
        <f t="shared" si="26"/>
        <v>43680.000000000007</v>
      </c>
      <c r="L54" s="132">
        <f t="shared" si="26"/>
        <v>43940.000000000007</v>
      </c>
      <c r="M54" s="132">
        <f t="shared" si="27"/>
        <v>44200.000000000007</v>
      </c>
      <c r="N54" s="132">
        <f t="shared" si="27"/>
        <v>44460.000000000007</v>
      </c>
      <c r="O54" s="111">
        <f t="shared" si="27"/>
        <v>44720.000000000007</v>
      </c>
      <c r="P54" s="111">
        <f t="shared" si="27"/>
        <v>44980</v>
      </c>
      <c r="Q54" s="111">
        <f t="shared" si="27"/>
        <v>45240.000000000007</v>
      </c>
      <c r="R54" s="111">
        <f t="shared" si="27"/>
        <v>45500</v>
      </c>
      <c r="S54" s="111">
        <f t="shared" si="27"/>
        <v>45760</v>
      </c>
      <c r="T54" s="111">
        <f t="shared" si="27"/>
        <v>46020</v>
      </c>
      <c r="U54" s="111">
        <f t="shared" si="27"/>
        <v>46280</v>
      </c>
      <c r="V54" s="111">
        <f t="shared" si="27"/>
        <v>46540</v>
      </c>
      <c r="W54" s="111">
        <f t="shared" si="28"/>
        <v>46800</v>
      </c>
      <c r="X54" s="111">
        <f t="shared" si="28"/>
        <v>47060</v>
      </c>
      <c r="Y54" s="111">
        <f t="shared" si="28"/>
        <v>47320</v>
      </c>
      <c r="Z54" s="125">
        <f t="shared" si="28"/>
        <v>47580</v>
      </c>
      <c r="AA54" s="125">
        <f t="shared" si="28"/>
        <v>47840</v>
      </c>
      <c r="AB54" s="125">
        <f t="shared" si="28"/>
        <v>48100</v>
      </c>
      <c r="AC54" s="125">
        <f t="shared" si="28"/>
        <v>48360</v>
      </c>
      <c r="AD54" s="125">
        <f t="shared" si="28"/>
        <v>48620</v>
      </c>
      <c r="AE54" s="125">
        <f t="shared" si="28"/>
        <v>48880.000000000007</v>
      </c>
      <c r="AF54" s="125">
        <f t="shared" si="28"/>
        <v>49140.000000000007</v>
      </c>
      <c r="AG54" s="125">
        <f t="shared" si="29"/>
        <v>49400.000000000007</v>
      </c>
      <c r="AH54" s="125">
        <f t="shared" si="29"/>
        <v>49660.000000000007</v>
      </c>
      <c r="AI54" s="125">
        <f t="shared" si="29"/>
        <v>49920.000000000007</v>
      </c>
      <c r="AJ54" s="125">
        <f t="shared" si="29"/>
        <v>50180.000000000007</v>
      </c>
      <c r="AK54" s="125">
        <f t="shared" si="29"/>
        <v>50440.000000000007</v>
      </c>
      <c r="AL54" s="125">
        <f t="shared" si="29"/>
        <v>50700.000000000007</v>
      </c>
      <c r="AM54" s="125">
        <f t="shared" si="29"/>
        <v>50960</v>
      </c>
      <c r="AN54" s="125">
        <f t="shared" si="29"/>
        <v>51220.000000000007</v>
      </c>
      <c r="AO54" s="125">
        <f t="shared" si="29"/>
        <v>51480</v>
      </c>
      <c r="AP54" s="125">
        <f t="shared" si="29"/>
        <v>51740.000000000007</v>
      </c>
      <c r="AQ54" s="125">
        <f t="shared" si="30"/>
        <v>52000</v>
      </c>
      <c r="AR54" s="125">
        <f t="shared" si="30"/>
        <v>52260.000000000007</v>
      </c>
      <c r="AS54" s="125">
        <f t="shared" si="30"/>
        <v>52520</v>
      </c>
      <c r="AT54" s="125">
        <f t="shared" si="30"/>
        <v>52780.000000000007</v>
      </c>
      <c r="AU54" s="125">
        <f t="shared" si="30"/>
        <v>53040</v>
      </c>
      <c r="AV54" s="125">
        <f t="shared" si="30"/>
        <v>53300.000000000015</v>
      </c>
      <c r="AW54" s="125">
        <f t="shared" si="30"/>
        <v>53560</v>
      </c>
      <c r="AX54" s="125">
        <f t="shared" si="30"/>
        <v>53820.000000000015</v>
      </c>
      <c r="AY54" s="125">
        <f t="shared" si="30"/>
        <v>54080</v>
      </c>
      <c r="AZ54" s="125">
        <f t="shared" si="30"/>
        <v>54340</v>
      </c>
    </row>
    <row r="55" spans="1:52" x14ac:dyDescent="0.2">
      <c r="A55" s="127">
        <v>10</v>
      </c>
      <c r="B55" s="113">
        <v>14</v>
      </c>
      <c r="C55" s="132">
        <f t="shared" si="26"/>
        <v>44800</v>
      </c>
      <c r="D55" s="132">
        <f t="shared" si="26"/>
        <v>45080</v>
      </c>
      <c r="E55" s="132">
        <f t="shared" si="26"/>
        <v>45360</v>
      </c>
      <c r="F55" s="132">
        <f t="shared" si="26"/>
        <v>45640.000000000007</v>
      </c>
      <c r="G55" s="132">
        <f t="shared" si="26"/>
        <v>45920.000000000007</v>
      </c>
      <c r="H55" s="132">
        <f t="shared" si="26"/>
        <v>46200.000000000007</v>
      </c>
      <c r="I55" s="132">
        <f t="shared" si="26"/>
        <v>46480.000000000007</v>
      </c>
      <c r="J55" s="132">
        <f t="shared" si="26"/>
        <v>46760.000000000007</v>
      </c>
      <c r="K55" s="132">
        <f t="shared" si="26"/>
        <v>47040.000000000007</v>
      </c>
      <c r="L55" s="132">
        <f t="shared" si="26"/>
        <v>47320.000000000007</v>
      </c>
      <c r="M55" s="132">
        <f t="shared" si="27"/>
        <v>47600.000000000007</v>
      </c>
      <c r="N55" s="132">
        <f t="shared" si="27"/>
        <v>47880.000000000007</v>
      </c>
      <c r="O55" s="132">
        <f t="shared" si="27"/>
        <v>48160.000000000007</v>
      </c>
      <c r="P55" s="132">
        <f t="shared" si="27"/>
        <v>48440</v>
      </c>
      <c r="Q55" s="111">
        <f t="shared" si="27"/>
        <v>48720.000000000007</v>
      </c>
      <c r="R55" s="111">
        <f t="shared" si="27"/>
        <v>49000</v>
      </c>
      <c r="S55" s="111">
        <f t="shared" si="27"/>
        <v>49280</v>
      </c>
      <c r="T55" s="111">
        <f t="shared" si="27"/>
        <v>49560</v>
      </c>
      <c r="U55" s="111">
        <f t="shared" si="27"/>
        <v>49840</v>
      </c>
      <c r="V55" s="111">
        <f t="shared" si="27"/>
        <v>50120</v>
      </c>
      <c r="W55" s="111">
        <f t="shared" si="28"/>
        <v>50400</v>
      </c>
      <c r="X55" s="111">
        <f t="shared" si="28"/>
        <v>50680</v>
      </c>
      <c r="Y55" s="111">
        <f t="shared" si="28"/>
        <v>50960</v>
      </c>
      <c r="Z55" s="125">
        <f t="shared" si="28"/>
        <v>51240</v>
      </c>
      <c r="AA55" s="125">
        <f t="shared" si="28"/>
        <v>51520</v>
      </c>
      <c r="AB55" s="125">
        <f t="shared" si="28"/>
        <v>51800</v>
      </c>
      <c r="AC55" s="125">
        <f t="shared" si="28"/>
        <v>52080</v>
      </c>
      <c r="AD55" s="125">
        <f t="shared" si="28"/>
        <v>52360</v>
      </c>
      <c r="AE55" s="125">
        <f t="shared" si="28"/>
        <v>52640.000000000007</v>
      </c>
      <c r="AF55" s="125">
        <f t="shared" si="28"/>
        <v>52920.000000000007</v>
      </c>
      <c r="AG55" s="125">
        <f t="shared" si="29"/>
        <v>53200.000000000007</v>
      </c>
      <c r="AH55" s="125">
        <f t="shared" si="29"/>
        <v>53480.000000000007</v>
      </c>
      <c r="AI55" s="125">
        <f t="shared" si="29"/>
        <v>53760.000000000007</v>
      </c>
      <c r="AJ55" s="125">
        <f t="shared" si="29"/>
        <v>54040.000000000007</v>
      </c>
      <c r="AK55" s="125">
        <f t="shared" si="29"/>
        <v>54320.000000000007</v>
      </c>
      <c r="AL55" s="125">
        <f t="shared" si="29"/>
        <v>54600.000000000007</v>
      </c>
      <c r="AM55" s="125">
        <f t="shared" si="29"/>
        <v>54880</v>
      </c>
      <c r="AN55" s="125">
        <f t="shared" si="29"/>
        <v>55160.000000000007</v>
      </c>
      <c r="AO55" s="125">
        <f t="shared" si="29"/>
        <v>55440</v>
      </c>
      <c r="AP55" s="125">
        <f t="shared" si="29"/>
        <v>55720.000000000007</v>
      </c>
      <c r="AQ55" s="125">
        <f t="shared" si="30"/>
        <v>56000</v>
      </c>
      <c r="AR55" s="125">
        <f t="shared" si="30"/>
        <v>56280.000000000007</v>
      </c>
      <c r="AS55" s="125">
        <f t="shared" si="30"/>
        <v>56560</v>
      </c>
      <c r="AT55" s="125">
        <f t="shared" si="30"/>
        <v>56840.000000000007</v>
      </c>
      <c r="AU55" s="125">
        <f t="shared" si="30"/>
        <v>57120</v>
      </c>
      <c r="AV55" s="125">
        <f t="shared" si="30"/>
        <v>57400.000000000015</v>
      </c>
      <c r="AW55" s="125">
        <f t="shared" si="30"/>
        <v>57680</v>
      </c>
      <c r="AX55" s="125">
        <f t="shared" si="30"/>
        <v>57960.000000000015</v>
      </c>
      <c r="AY55" s="125">
        <f t="shared" si="30"/>
        <v>58240</v>
      </c>
      <c r="AZ55" s="125">
        <f t="shared" si="30"/>
        <v>58520</v>
      </c>
    </row>
    <row r="56" spans="1:52" x14ac:dyDescent="0.2">
      <c r="A56" s="127">
        <v>11</v>
      </c>
      <c r="B56" s="113">
        <v>15</v>
      </c>
      <c r="C56" s="132">
        <f t="shared" ref="C56:L61" si="31">0+((2000*(base_stat1+C$45)) * $B56)</f>
        <v>48000</v>
      </c>
      <c r="D56" s="132">
        <f t="shared" si="31"/>
        <v>48300</v>
      </c>
      <c r="E56" s="132">
        <f t="shared" si="31"/>
        <v>48600</v>
      </c>
      <c r="F56" s="132">
        <f t="shared" si="31"/>
        <v>48900.000000000007</v>
      </c>
      <c r="G56" s="132">
        <f t="shared" si="31"/>
        <v>49200.000000000007</v>
      </c>
      <c r="H56" s="132">
        <f t="shared" si="31"/>
        <v>49500.000000000007</v>
      </c>
      <c r="I56" s="132">
        <f t="shared" si="31"/>
        <v>49800.000000000007</v>
      </c>
      <c r="J56" s="132">
        <f t="shared" si="31"/>
        <v>50100.000000000007</v>
      </c>
      <c r="K56" s="132">
        <f t="shared" si="31"/>
        <v>50400.000000000007</v>
      </c>
      <c r="L56" s="132">
        <f t="shared" si="31"/>
        <v>50700.000000000007</v>
      </c>
      <c r="M56" s="132">
        <f t="shared" ref="M56:V61" si="32">0+((2000*(base_stat1+M$45)) * $B56)</f>
        <v>51000.000000000007</v>
      </c>
      <c r="N56" s="132">
        <f t="shared" si="32"/>
        <v>51300.000000000007</v>
      </c>
      <c r="O56" s="132">
        <f t="shared" si="32"/>
        <v>51600.000000000007</v>
      </c>
      <c r="P56" s="132">
        <f t="shared" si="32"/>
        <v>51900</v>
      </c>
      <c r="Q56" s="132">
        <f t="shared" si="32"/>
        <v>52200.000000000007</v>
      </c>
      <c r="R56" s="111">
        <f t="shared" si="32"/>
        <v>52500</v>
      </c>
      <c r="S56" s="111">
        <f t="shared" si="32"/>
        <v>52800</v>
      </c>
      <c r="T56" s="111">
        <f t="shared" si="32"/>
        <v>53100</v>
      </c>
      <c r="U56" s="111">
        <f t="shared" si="32"/>
        <v>53400</v>
      </c>
      <c r="V56" s="111">
        <f t="shared" si="32"/>
        <v>53700</v>
      </c>
      <c r="W56" s="111">
        <f t="shared" ref="W56:AF61" si="33">0+((2000*(base_stat1+W$45)) * $B56)</f>
        <v>54000</v>
      </c>
      <c r="X56" s="111">
        <f t="shared" si="33"/>
        <v>54300</v>
      </c>
      <c r="Y56" s="111">
        <f t="shared" si="33"/>
        <v>54600</v>
      </c>
      <c r="Z56" s="129">
        <f t="shared" si="33"/>
        <v>54900</v>
      </c>
      <c r="AA56" s="125">
        <f t="shared" si="33"/>
        <v>55200</v>
      </c>
      <c r="AB56" s="125">
        <f t="shared" si="33"/>
        <v>55500</v>
      </c>
      <c r="AC56" s="125">
        <f t="shared" si="33"/>
        <v>55800</v>
      </c>
      <c r="AD56" s="125">
        <f t="shared" si="33"/>
        <v>56100</v>
      </c>
      <c r="AE56" s="125">
        <f t="shared" si="33"/>
        <v>56400.000000000007</v>
      </c>
      <c r="AF56" s="125">
        <f t="shared" si="33"/>
        <v>56700.000000000007</v>
      </c>
      <c r="AG56" s="125">
        <f t="shared" ref="AG56:AP61" si="34">0+((2000*(base_stat1+AG$45)) * $B56)</f>
        <v>57000.000000000007</v>
      </c>
      <c r="AH56" s="125">
        <f t="shared" si="34"/>
        <v>57300.000000000007</v>
      </c>
      <c r="AI56" s="125">
        <f t="shared" si="34"/>
        <v>57600.000000000007</v>
      </c>
      <c r="AJ56" s="125">
        <f t="shared" si="34"/>
        <v>57900.000000000007</v>
      </c>
      <c r="AK56" s="125">
        <f t="shared" si="34"/>
        <v>58200.000000000007</v>
      </c>
      <c r="AL56" s="125">
        <f t="shared" si="34"/>
        <v>58500.000000000007</v>
      </c>
      <c r="AM56" s="125">
        <f t="shared" si="34"/>
        <v>58800</v>
      </c>
      <c r="AN56" s="125">
        <f t="shared" si="34"/>
        <v>59100.000000000007</v>
      </c>
      <c r="AO56" s="125">
        <f t="shared" si="34"/>
        <v>59400</v>
      </c>
      <c r="AP56" s="125">
        <f t="shared" si="34"/>
        <v>59700.000000000007</v>
      </c>
      <c r="AQ56" s="125">
        <f t="shared" ref="AQ56:AZ61" si="35">0+((2000*(base_stat1+AQ$45)) * $B56)</f>
        <v>60000</v>
      </c>
      <c r="AR56" s="125">
        <f t="shared" si="35"/>
        <v>60300.000000000007</v>
      </c>
      <c r="AS56" s="125">
        <f t="shared" si="35"/>
        <v>60600</v>
      </c>
      <c r="AT56" s="125">
        <f t="shared" si="35"/>
        <v>60900.000000000007</v>
      </c>
      <c r="AU56" s="125">
        <f t="shared" si="35"/>
        <v>61200</v>
      </c>
      <c r="AV56" s="125">
        <f t="shared" si="35"/>
        <v>61500.000000000015</v>
      </c>
      <c r="AW56" s="125">
        <f t="shared" si="35"/>
        <v>61800</v>
      </c>
      <c r="AX56" s="125">
        <f t="shared" si="35"/>
        <v>62100.000000000015</v>
      </c>
      <c r="AY56" s="125">
        <f t="shared" si="35"/>
        <v>62400</v>
      </c>
      <c r="AZ56" s="125">
        <f t="shared" si="35"/>
        <v>62700</v>
      </c>
    </row>
    <row r="57" spans="1:52" x14ac:dyDescent="0.2">
      <c r="A57" s="127">
        <v>12</v>
      </c>
      <c r="B57" s="113">
        <v>16</v>
      </c>
      <c r="C57" s="132">
        <f t="shared" si="31"/>
        <v>51200</v>
      </c>
      <c r="D57" s="132">
        <f t="shared" si="31"/>
        <v>51520</v>
      </c>
      <c r="E57" s="132">
        <f t="shared" si="31"/>
        <v>51840</v>
      </c>
      <c r="F57" s="132">
        <f t="shared" si="31"/>
        <v>52160.000000000007</v>
      </c>
      <c r="G57" s="132">
        <f t="shared" si="31"/>
        <v>52480.000000000007</v>
      </c>
      <c r="H57" s="132">
        <f t="shared" si="31"/>
        <v>52800.000000000007</v>
      </c>
      <c r="I57" s="132">
        <f t="shared" si="31"/>
        <v>53120.000000000007</v>
      </c>
      <c r="J57" s="132">
        <f t="shared" si="31"/>
        <v>53440.000000000007</v>
      </c>
      <c r="K57" s="132">
        <f t="shared" si="31"/>
        <v>53760.000000000007</v>
      </c>
      <c r="L57" s="132">
        <f t="shared" si="31"/>
        <v>54080.000000000007</v>
      </c>
      <c r="M57" s="132">
        <f t="shared" si="32"/>
        <v>54400.000000000007</v>
      </c>
      <c r="N57" s="132">
        <f t="shared" si="32"/>
        <v>54720.000000000007</v>
      </c>
      <c r="O57" s="132">
        <f t="shared" si="32"/>
        <v>55040.000000000007</v>
      </c>
      <c r="P57" s="132">
        <f t="shared" si="32"/>
        <v>55360</v>
      </c>
      <c r="Q57" s="132">
        <f t="shared" si="32"/>
        <v>55680.000000000007</v>
      </c>
      <c r="R57" s="132">
        <f t="shared" si="32"/>
        <v>56000</v>
      </c>
      <c r="S57" s="132">
        <f t="shared" si="32"/>
        <v>56320</v>
      </c>
      <c r="T57" s="115">
        <f t="shared" si="32"/>
        <v>56640</v>
      </c>
      <c r="U57" s="111">
        <f t="shared" si="32"/>
        <v>56960</v>
      </c>
      <c r="V57" s="111">
        <f t="shared" si="32"/>
        <v>57280</v>
      </c>
      <c r="W57" s="111">
        <f t="shared" si="33"/>
        <v>57600</v>
      </c>
      <c r="X57" s="111">
        <f t="shared" si="33"/>
        <v>57920</v>
      </c>
      <c r="Y57" s="111">
        <f t="shared" si="33"/>
        <v>58240</v>
      </c>
      <c r="Z57" s="125">
        <f t="shared" si="33"/>
        <v>58560</v>
      </c>
      <c r="AA57" s="125">
        <f t="shared" si="33"/>
        <v>58880</v>
      </c>
      <c r="AB57" s="125">
        <f t="shared" si="33"/>
        <v>59200</v>
      </c>
      <c r="AC57" s="125">
        <f t="shared" si="33"/>
        <v>59520</v>
      </c>
      <c r="AD57" s="125">
        <f t="shared" si="33"/>
        <v>59840</v>
      </c>
      <c r="AE57" s="125">
        <f t="shared" si="33"/>
        <v>60160.000000000007</v>
      </c>
      <c r="AF57" s="125">
        <f t="shared" si="33"/>
        <v>60480.000000000007</v>
      </c>
      <c r="AG57" s="125">
        <f t="shared" si="34"/>
        <v>60800.000000000007</v>
      </c>
      <c r="AH57" s="125">
        <f t="shared" si="34"/>
        <v>61120.000000000007</v>
      </c>
      <c r="AI57" s="125">
        <f t="shared" si="34"/>
        <v>61440.000000000007</v>
      </c>
      <c r="AJ57" s="125">
        <f t="shared" si="34"/>
        <v>61760.000000000007</v>
      </c>
      <c r="AK57" s="125">
        <f t="shared" si="34"/>
        <v>62080.000000000007</v>
      </c>
      <c r="AL57" s="125">
        <f t="shared" si="34"/>
        <v>62400.000000000007</v>
      </c>
      <c r="AM57" s="125">
        <f t="shared" si="34"/>
        <v>62720</v>
      </c>
      <c r="AN57" s="125">
        <f t="shared" si="34"/>
        <v>63040.000000000007</v>
      </c>
      <c r="AO57" s="125">
        <f t="shared" si="34"/>
        <v>63360</v>
      </c>
      <c r="AP57" s="125">
        <f t="shared" si="34"/>
        <v>63680.000000000007</v>
      </c>
      <c r="AQ57" s="125">
        <f t="shared" si="35"/>
        <v>64000</v>
      </c>
      <c r="AR57" s="125">
        <f t="shared" si="35"/>
        <v>64320.000000000007</v>
      </c>
      <c r="AS57" s="125">
        <f t="shared" si="35"/>
        <v>64640</v>
      </c>
      <c r="AT57" s="125">
        <f t="shared" si="35"/>
        <v>64960.000000000007</v>
      </c>
      <c r="AU57" s="125">
        <f t="shared" si="35"/>
        <v>65280</v>
      </c>
      <c r="AV57" s="125">
        <f t="shared" si="35"/>
        <v>65600.000000000015</v>
      </c>
      <c r="AW57" s="125">
        <f t="shared" si="35"/>
        <v>65920</v>
      </c>
      <c r="AX57" s="125">
        <f t="shared" si="35"/>
        <v>66240.000000000015</v>
      </c>
      <c r="AY57" s="125">
        <f t="shared" si="35"/>
        <v>66560</v>
      </c>
      <c r="AZ57" s="125">
        <f t="shared" si="35"/>
        <v>66880</v>
      </c>
    </row>
    <row r="58" spans="1:52" x14ac:dyDescent="0.2">
      <c r="A58" s="127">
        <v>13</v>
      </c>
      <c r="B58" s="113">
        <v>17</v>
      </c>
      <c r="C58" s="132">
        <f t="shared" si="31"/>
        <v>54400</v>
      </c>
      <c r="D58" s="132">
        <f t="shared" si="31"/>
        <v>54740</v>
      </c>
      <c r="E58" s="132">
        <f t="shared" si="31"/>
        <v>55080</v>
      </c>
      <c r="F58" s="132">
        <f t="shared" si="31"/>
        <v>55420.000000000007</v>
      </c>
      <c r="G58" s="132">
        <f t="shared" si="31"/>
        <v>55760.000000000007</v>
      </c>
      <c r="H58" s="132">
        <f t="shared" si="31"/>
        <v>56100.000000000007</v>
      </c>
      <c r="I58" s="132">
        <f t="shared" si="31"/>
        <v>56440.000000000007</v>
      </c>
      <c r="J58" s="132">
        <f t="shared" si="31"/>
        <v>56780.000000000007</v>
      </c>
      <c r="K58" s="132">
        <f t="shared" si="31"/>
        <v>57120.000000000007</v>
      </c>
      <c r="L58" s="132">
        <f t="shared" si="31"/>
        <v>57460.000000000007</v>
      </c>
      <c r="M58" s="132">
        <f t="shared" si="32"/>
        <v>57800.000000000007</v>
      </c>
      <c r="N58" s="132">
        <f t="shared" si="32"/>
        <v>58140.000000000007</v>
      </c>
      <c r="O58" s="132">
        <f t="shared" si="32"/>
        <v>58480.000000000007</v>
      </c>
      <c r="P58" s="132">
        <f t="shared" si="32"/>
        <v>58820</v>
      </c>
      <c r="Q58" s="132">
        <f t="shared" si="32"/>
        <v>59160.000000000007</v>
      </c>
      <c r="R58" s="132">
        <f t="shared" si="32"/>
        <v>59500</v>
      </c>
      <c r="S58" s="132">
        <f t="shared" si="32"/>
        <v>59840</v>
      </c>
      <c r="T58" s="132">
        <f t="shared" si="32"/>
        <v>60180</v>
      </c>
      <c r="U58" s="111">
        <f t="shared" si="32"/>
        <v>60520</v>
      </c>
      <c r="V58" s="111">
        <f t="shared" si="32"/>
        <v>60860</v>
      </c>
      <c r="W58" s="111">
        <f t="shared" si="33"/>
        <v>61200</v>
      </c>
      <c r="X58" s="111">
        <f t="shared" si="33"/>
        <v>61540</v>
      </c>
      <c r="Y58" s="111">
        <f t="shared" si="33"/>
        <v>61880</v>
      </c>
      <c r="Z58" s="125">
        <f t="shared" si="33"/>
        <v>62220</v>
      </c>
      <c r="AA58" s="125">
        <f t="shared" si="33"/>
        <v>62560</v>
      </c>
      <c r="AB58" s="125">
        <f t="shared" si="33"/>
        <v>62900</v>
      </c>
      <c r="AC58" s="125">
        <f t="shared" si="33"/>
        <v>63240</v>
      </c>
      <c r="AD58" s="125">
        <f t="shared" si="33"/>
        <v>63580</v>
      </c>
      <c r="AE58" s="125">
        <f t="shared" si="33"/>
        <v>63920.000000000007</v>
      </c>
      <c r="AF58" s="125">
        <f t="shared" si="33"/>
        <v>64260.000000000007</v>
      </c>
      <c r="AG58" s="125">
        <f t="shared" si="34"/>
        <v>64600.000000000007</v>
      </c>
      <c r="AH58" s="125">
        <f t="shared" si="34"/>
        <v>64940.000000000007</v>
      </c>
      <c r="AI58" s="125">
        <f t="shared" si="34"/>
        <v>65280.000000000007</v>
      </c>
      <c r="AJ58" s="125">
        <f t="shared" si="34"/>
        <v>65620.000000000015</v>
      </c>
      <c r="AK58" s="125">
        <f t="shared" si="34"/>
        <v>65960.000000000015</v>
      </c>
      <c r="AL58" s="125">
        <f t="shared" si="34"/>
        <v>66300.000000000015</v>
      </c>
      <c r="AM58" s="125">
        <f t="shared" si="34"/>
        <v>66640</v>
      </c>
      <c r="AN58" s="125">
        <f t="shared" si="34"/>
        <v>66980.000000000015</v>
      </c>
      <c r="AO58" s="125">
        <f t="shared" si="34"/>
        <v>67320</v>
      </c>
      <c r="AP58" s="125">
        <f t="shared" si="34"/>
        <v>67660.000000000015</v>
      </c>
      <c r="AQ58" s="125">
        <f t="shared" si="35"/>
        <v>68000</v>
      </c>
      <c r="AR58" s="125">
        <f t="shared" si="35"/>
        <v>68340.000000000015</v>
      </c>
      <c r="AS58" s="125">
        <f t="shared" si="35"/>
        <v>68680</v>
      </c>
      <c r="AT58" s="125">
        <f t="shared" si="35"/>
        <v>69020.000000000015</v>
      </c>
      <c r="AU58" s="125">
        <f t="shared" si="35"/>
        <v>69360</v>
      </c>
      <c r="AV58" s="125">
        <f t="shared" si="35"/>
        <v>69700.000000000015</v>
      </c>
      <c r="AW58" s="125">
        <f t="shared" si="35"/>
        <v>70040</v>
      </c>
      <c r="AX58" s="125">
        <f t="shared" si="35"/>
        <v>70380.000000000015</v>
      </c>
      <c r="AY58" s="125">
        <f t="shared" si="35"/>
        <v>70720</v>
      </c>
      <c r="AZ58" s="125">
        <f t="shared" si="35"/>
        <v>71060</v>
      </c>
    </row>
    <row r="59" spans="1:52" x14ac:dyDescent="0.2">
      <c r="A59" s="127">
        <v>14</v>
      </c>
      <c r="B59" s="113">
        <v>18</v>
      </c>
      <c r="C59" s="132">
        <f t="shared" si="31"/>
        <v>57600</v>
      </c>
      <c r="D59" s="132">
        <f t="shared" si="31"/>
        <v>57960</v>
      </c>
      <c r="E59" s="132">
        <f t="shared" si="31"/>
        <v>58320</v>
      </c>
      <c r="F59" s="132">
        <f t="shared" si="31"/>
        <v>58680.000000000007</v>
      </c>
      <c r="G59" s="132">
        <f t="shared" si="31"/>
        <v>59040.000000000007</v>
      </c>
      <c r="H59" s="132">
        <f t="shared" si="31"/>
        <v>59400.000000000007</v>
      </c>
      <c r="I59" s="132">
        <f t="shared" si="31"/>
        <v>59760.000000000007</v>
      </c>
      <c r="J59" s="132">
        <f t="shared" si="31"/>
        <v>60120.000000000007</v>
      </c>
      <c r="K59" s="132">
        <f t="shared" si="31"/>
        <v>60480.000000000007</v>
      </c>
      <c r="L59" s="132">
        <f t="shared" si="31"/>
        <v>60840.000000000007</v>
      </c>
      <c r="M59" s="132">
        <f t="shared" si="32"/>
        <v>61200.000000000007</v>
      </c>
      <c r="N59" s="132">
        <f t="shared" si="32"/>
        <v>61560.000000000007</v>
      </c>
      <c r="O59" s="132">
        <f t="shared" si="32"/>
        <v>61920.000000000007</v>
      </c>
      <c r="P59" s="132">
        <f t="shared" si="32"/>
        <v>62280</v>
      </c>
      <c r="Q59" s="132">
        <f t="shared" si="32"/>
        <v>62640.000000000007</v>
      </c>
      <c r="R59" s="132">
        <f t="shared" si="32"/>
        <v>63000</v>
      </c>
      <c r="S59" s="132">
        <f t="shared" si="32"/>
        <v>63360</v>
      </c>
      <c r="T59" s="132">
        <f t="shared" si="32"/>
        <v>63720</v>
      </c>
      <c r="U59" s="132">
        <f t="shared" si="32"/>
        <v>64080</v>
      </c>
      <c r="V59" s="132">
        <f t="shared" si="32"/>
        <v>64440</v>
      </c>
      <c r="W59" s="111">
        <f t="shared" si="33"/>
        <v>64800</v>
      </c>
      <c r="X59" s="111">
        <f t="shared" si="33"/>
        <v>65160</v>
      </c>
      <c r="Y59" s="111">
        <f t="shared" si="33"/>
        <v>65520</v>
      </c>
      <c r="Z59" s="125">
        <f t="shared" si="33"/>
        <v>65880</v>
      </c>
      <c r="AA59" s="125">
        <f t="shared" si="33"/>
        <v>66240</v>
      </c>
      <c r="AB59" s="125">
        <f t="shared" si="33"/>
        <v>66600</v>
      </c>
      <c r="AC59" s="125">
        <f t="shared" si="33"/>
        <v>66960</v>
      </c>
      <c r="AD59" s="125">
        <f t="shared" si="33"/>
        <v>67320</v>
      </c>
      <c r="AE59" s="125">
        <f t="shared" si="33"/>
        <v>67680.000000000015</v>
      </c>
      <c r="AF59" s="125">
        <f t="shared" si="33"/>
        <v>68040.000000000015</v>
      </c>
      <c r="AG59" s="125">
        <f t="shared" si="34"/>
        <v>68400.000000000015</v>
      </c>
      <c r="AH59" s="125">
        <f t="shared" si="34"/>
        <v>68760.000000000015</v>
      </c>
      <c r="AI59" s="125">
        <f t="shared" si="34"/>
        <v>69120.000000000015</v>
      </c>
      <c r="AJ59" s="125">
        <f t="shared" si="34"/>
        <v>69480.000000000015</v>
      </c>
      <c r="AK59" s="125">
        <f t="shared" si="34"/>
        <v>69840.000000000015</v>
      </c>
      <c r="AL59" s="125">
        <f t="shared" si="34"/>
        <v>70200.000000000015</v>
      </c>
      <c r="AM59" s="125">
        <f t="shared" si="34"/>
        <v>70560</v>
      </c>
      <c r="AN59" s="125">
        <f t="shared" si="34"/>
        <v>70920.000000000015</v>
      </c>
      <c r="AO59" s="125">
        <f t="shared" si="34"/>
        <v>71280</v>
      </c>
      <c r="AP59" s="125">
        <f t="shared" si="34"/>
        <v>71640.000000000015</v>
      </c>
      <c r="AQ59" s="125">
        <f t="shared" si="35"/>
        <v>72000</v>
      </c>
      <c r="AR59" s="125">
        <f t="shared" si="35"/>
        <v>72360.000000000015</v>
      </c>
      <c r="AS59" s="125">
        <f t="shared" si="35"/>
        <v>72720</v>
      </c>
      <c r="AT59" s="125">
        <f t="shared" si="35"/>
        <v>73080.000000000015</v>
      </c>
      <c r="AU59" s="125">
        <f t="shared" si="35"/>
        <v>73440</v>
      </c>
      <c r="AV59" s="125">
        <f t="shared" si="35"/>
        <v>73800.000000000015</v>
      </c>
      <c r="AW59" s="125">
        <f t="shared" si="35"/>
        <v>74160</v>
      </c>
      <c r="AX59" s="125">
        <f t="shared" si="35"/>
        <v>74520.000000000015</v>
      </c>
      <c r="AY59" s="125">
        <f t="shared" si="35"/>
        <v>74880</v>
      </c>
      <c r="AZ59" s="125">
        <f t="shared" si="35"/>
        <v>75240</v>
      </c>
    </row>
    <row r="60" spans="1:52" x14ac:dyDescent="0.2">
      <c r="A60" s="127">
        <v>15</v>
      </c>
      <c r="B60" s="113">
        <v>19</v>
      </c>
      <c r="C60" s="132">
        <f t="shared" si="31"/>
        <v>60800</v>
      </c>
      <c r="D60" s="132">
        <f t="shared" si="31"/>
        <v>61180</v>
      </c>
      <c r="E60" s="132">
        <f t="shared" si="31"/>
        <v>61560</v>
      </c>
      <c r="F60" s="132">
        <f t="shared" si="31"/>
        <v>61940.000000000007</v>
      </c>
      <c r="G60" s="132">
        <f t="shared" si="31"/>
        <v>62320.000000000007</v>
      </c>
      <c r="H60" s="132">
        <f t="shared" si="31"/>
        <v>62700.000000000007</v>
      </c>
      <c r="I60" s="132">
        <f t="shared" si="31"/>
        <v>63080.000000000007</v>
      </c>
      <c r="J60" s="132">
        <f t="shared" si="31"/>
        <v>63460.000000000007</v>
      </c>
      <c r="K60" s="132">
        <f t="shared" si="31"/>
        <v>63840.000000000007</v>
      </c>
      <c r="L60" s="132">
        <f t="shared" si="31"/>
        <v>64220.000000000007</v>
      </c>
      <c r="M60" s="132">
        <f t="shared" si="32"/>
        <v>64600.000000000007</v>
      </c>
      <c r="N60" s="132">
        <f t="shared" si="32"/>
        <v>64980.000000000007</v>
      </c>
      <c r="O60" s="132">
        <f t="shared" si="32"/>
        <v>65360.000000000007</v>
      </c>
      <c r="P60" s="132">
        <f t="shared" si="32"/>
        <v>65740</v>
      </c>
      <c r="Q60" s="132">
        <f t="shared" si="32"/>
        <v>66120.000000000015</v>
      </c>
      <c r="R60" s="132">
        <f t="shared" si="32"/>
        <v>66500</v>
      </c>
      <c r="S60" s="132">
        <f t="shared" si="32"/>
        <v>66880</v>
      </c>
      <c r="T60" s="132">
        <f t="shared" si="32"/>
        <v>67260</v>
      </c>
      <c r="U60" s="132">
        <f t="shared" si="32"/>
        <v>67640</v>
      </c>
      <c r="V60" s="132">
        <f t="shared" si="32"/>
        <v>68020</v>
      </c>
      <c r="W60" s="132">
        <f t="shared" si="33"/>
        <v>68400</v>
      </c>
      <c r="X60" s="111">
        <f t="shared" si="33"/>
        <v>68780</v>
      </c>
      <c r="Y60" s="111">
        <f t="shared" si="33"/>
        <v>69160</v>
      </c>
      <c r="Z60" s="125">
        <f t="shared" si="33"/>
        <v>69540</v>
      </c>
      <c r="AA60" s="125">
        <f t="shared" si="33"/>
        <v>69920</v>
      </c>
      <c r="AB60" s="125">
        <f t="shared" si="33"/>
        <v>70300</v>
      </c>
      <c r="AC60" s="125">
        <f t="shared" si="33"/>
        <v>70680</v>
      </c>
      <c r="AD60" s="125">
        <f t="shared" si="33"/>
        <v>71060</v>
      </c>
      <c r="AE60" s="125">
        <f t="shared" si="33"/>
        <v>71440.000000000015</v>
      </c>
      <c r="AF60" s="125">
        <f t="shared" si="33"/>
        <v>71820.000000000015</v>
      </c>
      <c r="AG60" s="125">
        <f t="shared" si="34"/>
        <v>72200.000000000015</v>
      </c>
      <c r="AH60" s="125">
        <f t="shared" si="34"/>
        <v>72580.000000000015</v>
      </c>
      <c r="AI60" s="125">
        <f t="shared" si="34"/>
        <v>72960.000000000015</v>
      </c>
      <c r="AJ60" s="125">
        <f t="shared" si="34"/>
        <v>73340.000000000015</v>
      </c>
      <c r="AK60" s="125">
        <f t="shared" si="34"/>
        <v>73720.000000000015</v>
      </c>
      <c r="AL60" s="125">
        <f t="shared" si="34"/>
        <v>74100.000000000015</v>
      </c>
      <c r="AM60" s="125">
        <f t="shared" si="34"/>
        <v>74480</v>
      </c>
      <c r="AN60" s="125">
        <f t="shared" si="34"/>
        <v>74860.000000000015</v>
      </c>
      <c r="AO60" s="125">
        <f t="shared" si="34"/>
        <v>75240</v>
      </c>
      <c r="AP60" s="125">
        <f t="shared" si="34"/>
        <v>75620.000000000015</v>
      </c>
      <c r="AQ60" s="125">
        <f t="shared" si="35"/>
        <v>76000</v>
      </c>
      <c r="AR60" s="125">
        <f t="shared" si="35"/>
        <v>76380.000000000015</v>
      </c>
      <c r="AS60" s="125">
        <f t="shared" si="35"/>
        <v>76760</v>
      </c>
      <c r="AT60" s="125">
        <f t="shared" si="35"/>
        <v>77140.000000000015</v>
      </c>
      <c r="AU60" s="125">
        <f t="shared" si="35"/>
        <v>77520</v>
      </c>
      <c r="AV60" s="125">
        <f t="shared" si="35"/>
        <v>77900.000000000015</v>
      </c>
      <c r="AW60" s="125">
        <f t="shared" si="35"/>
        <v>78280</v>
      </c>
      <c r="AX60" s="125">
        <f t="shared" si="35"/>
        <v>78660.000000000015</v>
      </c>
      <c r="AY60" s="125">
        <f t="shared" si="35"/>
        <v>79040</v>
      </c>
      <c r="AZ60" s="125">
        <f t="shared" si="35"/>
        <v>79420</v>
      </c>
    </row>
    <row r="61" spans="1:52" x14ac:dyDescent="0.2">
      <c r="A61" s="127">
        <v>16</v>
      </c>
      <c r="B61" s="116">
        <v>20</v>
      </c>
      <c r="C61" s="133">
        <f t="shared" si="31"/>
        <v>64000</v>
      </c>
      <c r="D61" s="133">
        <f t="shared" si="31"/>
        <v>64400</v>
      </c>
      <c r="E61" s="133">
        <f t="shared" si="31"/>
        <v>64800</v>
      </c>
      <c r="F61" s="133">
        <f t="shared" si="31"/>
        <v>65200.000000000007</v>
      </c>
      <c r="G61" s="133">
        <f t="shared" si="31"/>
        <v>65600.000000000015</v>
      </c>
      <c r="H61" s="133">
        <f t="shared" si="31"/>
        <v>66000.000000000015</v>
      </c>
      <c r="I61" s="133">
        <f t="shared" si="31"/>
        <v>66400.000000000015</v>
      </c>
      <c r="J61" s="133">
        <f t="shared" si="31"/>
        <v>66800.000000000015</v>
      </c>
      <c r="K61" s="133">
        <f t="shared" si="31"/>
        <v>67200.000000000015</v>
      </c>
      <c r="L61" s="133">
        <f t="shared" si="31"/>
        <v>67600.000000000015</v>
      </c>
      <c r="M61" s="133">
        <f t="shared" si="32"/>
        <v>68000.000000000015</v>
      </c>
      <c r="N61" s="133">
        <f t="shared" si="32"/>
        <v>68400.000000000015</v>
      </c>
      <c r="O61" s="133">
        <f t="shared" si="32"/>
        <v>68800.000000000015</v>
      </c>
      <c r="P61" s="133">
        <f t="shared" si="32"/>
        <v>69200</v>
      </c>
      <c r="Q61" s="133">
        <f t="shared" si="32"/>
        <v>69600.000000000015</v>
      </c>
      <c r="R61" s="133">
        <f t="shared" si="32"/>
        <v>70000</v>
      </c>
      <c r="S61" s="133">
        <f t="shared" si="32"/>
        <v>70400</v>
      </c>
      <c r="T61" s="133">
        <f t="shared" si="32"/>
        <v>70800</v>
      </c>
      <c r="U61" s="133">
        <f t="shared" si="32"/>
        <v>71200</v>
      </c>
      <c r="V61" s="133">
        <f t="shared" si="32"/>
        <v>71600</v>
      </c>
      <c r="W61" s="133">
        <f t="shared" si="33"/>
        <v>72000</v>
      </c>
      <c r="X61" s="133">
        <f t="shared" si="33"/>
        <v>72400</v>
      </c>
      <c r="Y61" s="133">
        <f t="shared" si="33"/>
        <v>72800</v>
      </c>
      <c r="Z61" s="125">
        <f t="shared" si="33"/>
        <v>73200</v>
      </c>
      <c r="AA61" s="125">
        <f t="shared" si="33"/>
        <v>73600</v>
      </c>
      <c r="AB61" s="125">
        <f t="shared" si="33"/>
        <v>74000</v>
      </c>
      <c r="AC61" s="125">
        <f t="shared" si="33"/>
        <v>74400</v>
      </c>
      <c r="AD61" s="125">
        <f t="shared" si="33"/>
        <v>74800</v>
      </c>
      <c r="AE61" s="125">
        <f t="shared" si="33"/>
        <v>75200.000000000015</v>
      </c>
      <c r="AF61" s="125">
        <f t="shared" si="33"/>
        <v>75600.000000000015</v>
      </c>
      <c r="AG61" s="125">
        <f t="shared" si="34"/>
        <v>76000.000000000015</v>
      </c>
      <c r="AH61" s="125">
        <f t="shared" si="34"/>
        <v>76400.000000000015</v>
      </c>
      <c r="AI61" s="125">
        <f t="shared" si="34"/>
        <v>76800.000000000015</v>
      </c>
      <c r="AJ61" s="125">
        <f t="shared" si="34"/>
        <v>77200.000000000015</v>
      </c>
      <c r="AK61" s="125">
        <f t="shared" si="34"/>
        <v>77600.000000000015</v>
      </c>
      <c r="AL61" s="125">
        <f t="shared" si="34"/>
        <v>78000.000000000015</v>
      </c>
      <c r="AM61" s="125">
        <f t="shared" si="34"/>
        <v>78400</v>
      </c>
      <c r="AN61" s="125">
        <f t="shared" si="34"/>
        <v>78800.000000000015</v>
      </c>
      <c r="AO61" s="125">
        <f t="shared" si="34"/>
        <v>79200</v>
      </c>
      <c r="AP61" s="125">
        <f t="shared" si="34"/>
        <v>79600.000000000015</v>
      </c>
      <c r="AQ61" s="125">
        <f t="shared" si="35"/>
        <v>80000</v>
      </c>
      <c r="AR61" s="125">
        <f t="shared" si="35"/>
        <v>80400.000000000015</v>
      </c>
      <c r="AS61" s="125">
        <f t="shared" si="35"/>
        <v>80800</v>
      </c>
      <c r="AT61" s="125">
        <f t="shared" si="35"/>
        <v>81200.000000000015</v>
      </c>
      <c r="AU61" s="125">
        <f t="shared" si="35"/>
        <v>81600</v>
      </c>
      <c r="AV61" s="125">
        <f t="shared" si="35"/>
        <v>82000.000000000015</v>
      </c>
      <c r="AW61" s="125">
        <f t="shared" si="35"/>
        <v>82400</v>
      </c>
      <c r="AX61" s="125">
        <f t="shared" si="35"/>
        <v>82800.000000000015</v>
      </c>
      <c r="AY61" s="125">
        <f t="shared" si="35"/>
        <v>83200</v>
      </c>
      <c r="AZ61" s="125">
        <f t="shared" si="35"/>
        <v>83600</v>
      </c>
    </row>
    <row r="62" spans="1:52" x14ac:dyDescent="0.2">
      <c r="C62" s="124" t="str">
        <f>C23</f>
        <v>영웅레벨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</row>
    <row r="63" spans="1:52" x14ac:dyDescent="0.2">
      <c r="B63" s="101" t="s">
        <v>220</v>
      </c>
      <c r="C63" s="123">
        <f>C24</f>
        <v>1</v>
      </c>
      <c r="D63" s="123">
        <f t="shared" ref="D63:AI63" si="36">D24</f>
        <v>2</v>
      </c>
      <c r="E63" s="123">
        <f t="shared" si="36"/>
        <v>3</v>
      </c>
      <c r="F63" s="123">
        <f t="shared" si="36"/>
        <v>4</v>
      </c>
      <c r="G63" s="123">
        <f t="shared" si="36"/>
        <v>5</v>
      </c>
      <c r="H63" s="123">
        <f t="shared" si="36"/>
        <v>6</v>
      </c>
      <c r="I63" s="123">
        <f t="shared" si="36"/>
        <v>7</v>
      </c>
      <c r="J63" s="123">
        <f t="shared" si="36"/>
        <v>8</v>
      </c>
      <c r="K63" s="123">
        <f t="shared" si="36"/>
        <v>9</v>
      </c>
      <c r="L63" s="123">
        <f t="shared" si="36"/>
        <v>10</v>
      </c>
      <c r="M63" s="123">
        <f t="shared" si="36"/>
        <v>11</v>
      </c>
      <c r="N63" s="123">
        <f t="shared" si="36"/>
        <v>12</v>
      </c>
      <c r="O63" s="123">
        <f t="shared" si="36"/>
        <v>13</v>
      </c>
      <c r="P63" s="123">
        <f t="shared" si="36"/>
        <v>14</v>
      </c>
      <c r="Q63" s="123">
        <f t="shared" si="36"/>
        <v>15</v>
      </c>
      <c r="R63" s="123">
        <f t="shared" si="36"/>
        <v>16</v>
      </c>
      <c r="S63" s="123">
        <f t="shared" si="36"/>
        <v>17</v>
      </c>
      <c r="T63" s="123">
        <f t="shared" si="36"/>
        <v>18</v>
      </c>
      <c r="U63" s="123">
        <f t="shared" si="36"/>
        <v>19</v>
      </c>
      <c r="V63" s="123">
        <f t="shared" si="36"/>
        <v>20</v>
      </c>
      <c r="W63" s="123">
        <f t="shared" si="36"/>
        <v>21</v>
      </c>
      <c r="X63" s="123">
        <f t="shared" si="36"/>
        <v>22</v>
      </c>
      <c r="Y63" s="123">
        <f t="shared" si="36"/>
        <v>23</v>
      </c>
      <c r="Z63" s="123">
        <f t="shared" si="36"/>
        <v>24</v>
      </c>
      <c r="AA63" s="123">
        <f t="shared" si="36"/>
        <v>25</v>
      </c>
      <c r="AB63" s="123">
        <f t="shared" si="36"/>
        <v>26</v>
      </c>
      <c r="AC63" s="123">
        <f t="shared" si="36"/>
        <v>27</v>
      </c>
      <c r="AD63" s="123">
        <f t="shared" si="36"/>
        <v>28</v>
      </c>
      <c r="AE63" s="123">
        <f t="shared" si="36"/>
        <v>29</v>
      </c>
      <c r="AF63" s="123">
        <f t="shared" si="36"/>
        <v>30</v>
      </c>
      <c r="AG63" s="123">
        <f t="shared" si="36"/>
        <v>31</v>
      </c>
      <c r="AH63" s="123">
        <f t="shared" si="36"/>
        <v>32</v>
      </c>
      <c r="AI63" s="123">
        <f t="shared" si="36"/>
        <v>33</v>
      </c>
      <c r="AJ63" s="123">
        <f t="shared" ref="AJ63:AZ63" si="37">AJ24</f>
        <v>34</v>
      </c>
      <c r="AK63" s="123">
        <f t="shared" si="37"/>
        <v>35</v>
      </c>
      <c r="AL63" s="123">
        <f t="shared" si="37"/>
        <v>36</v>
      </c>
      <c r="AM63" s="123">
        <f t="shared" si="37"/>
        <v>37</v>
      </c>
      <c r="AN63" s="123">
        <f t="shared" si="37"/>
        <v>38</v>
      </c>
      <c r="AO63" s="123">
        <f t="shared" si="37"/>
        <v>39</v>
      </c>
      <c r="AP63" s="123">
        <f t="shared" si="37"/>
        <v>40</v>
      </c>
      <c r="AQ63" s="123">
        <f t="shared" si="37"/>
        <v>41</v>
      </c>
      <c r="AR63" s="123">
        <f t="shared" si="37"/>
        <v>42</v>
      </c>
      <c r="AS63" s="123">
        <f t="shared" si="37"/>
        <v>43</v>
      </c>
      <c r="AT63" s="123">
        <f t="shared" si="37"/>
        <v>44</v>
      </c>
      <c r="AU63" s="123">
        <f t="shared" si="37"/>
        <v>45</v>
      </c>
      <c r="AV63" s="123">
        <f t="shared" si="37"/>
        <v>46</v>
      </c>
      <c r="AW63" s="123">
        <f t="shared" si="37"/>
        <v>47</v>
      </c>
      <c r="AX63" s="123">
        <f t="shared" si="37"/>
        <v>48</v>
      </c>
      <c r="AY63" s="123">
        <f t="shared" si="37"/>
        <v>49</v>
      </c>
      <c r="AZ63" s="123">
        <f t="shared" si="37"/>
        <v>50</v>
      </c>
    </row>
    <row r="64" spans="1:52" x14ac:dyDescent="0.2">
      <c r="A64" s="1" t="s">
        <v>158</v>
      </c>
      <c r="B64" s="101" t="s">
        <v>218</v>
      </c>
      <c r="C64" s="128">
        <f>C25</f>
        <v>0</v>
      </c>
      <c r="D64" s="128">
        <f t="shared" ref="D64:AI64" si="38">D25</f>
        <v>0.04</v>
      </c>
      <c r="E64" s="128">
        <f t="shared" si="38"/>
        <v>0.08</v>
      </c>
      <c r="F64" s="128">
        <f t="shared" si="38"/>
        <v>0.12</v>
      </c>
      <c r="G64" s="128">
        <f t="shared" si="38"/>
        <v>0.16</v>
      </c>
      <c r="H64" s="128">
        <f t="shared" si="38"/>
        <v>0.2</v>
      </c>
      <c r="I64" s="128">
        <f t="shared" si="38"/>
        <v>0.24</v>
      </c>
      <c r="J64" s="128">
        <f t="shared" si="38"/>
        <v>0.28000000000000003</v>
      </c>
      <c r="K64" s="128">
        <f t="shared" si="38"/>
        <v>0.32</v>
      </c>
      <c r="L64" s="128">
        <f t="shared" si="38"/>
        <v>0.36</v>
      </c>
      <c r="M64" s="128">
        <f t="shared" si="38"/>
        <v>0.4</v>
      </c>
      <c r="N64" s="128">
        <f t="shared" si="38"/>
        <v>0.44</v>
      </c>
      <c r="O64" s="128">
        <f t="shared" si="38"/>
        <v>0.48</v>
      </c>
      <c r="P64" s="128">
        <f t="shared" si="38"/>
        <v>0.52</v>
      </c>
      <c r="Q64" s="128">
        <f t="shared" si="38"/>
        <v>0.56000000000000005</v>
      </c>
      <c r="R64" s="128">
        <f t="shared" si="38"/>
        <v>0.6</v>
      </c>
      <c r="S64" s="128">
        <f t="shared" si="38"/>
        <v>0.64</v>
      </c>
      <c r="T64" s="128">
        <f t="shared" si="38"/>
        <v>0.68</v>
      </c>
      <c r="U64" s="128">
        <f t="shared" si="38"/>
        <v>0.72</v>
      </c>
      <c r="V64" s="128">
        <f t="shared" si="38"/>
        <v>0.76</v>
      </c>
      <c r="W64" s="128">
        <f t="shared" si="38"/>
        <v>0.8</v>
      </c>
      <c r="X64" s="128">
        <f t="shared" si="38"/>
        <v>0.84</v>
      </c>
      <c r="Y64" s="128">
        <f t="shared" si="38"/>
        <v>0.88</v>
      </c>
      <c r="Z64" s="128">
        <f t="shared" si="38"/>
        <v>0.92</v>
      </c>
      <c r="AA64" s="128">
        <f t="shared" si="38"/>
        <v>0.96</v>
      </c>
      <c r="AB64" s="128">
        <f t="shared" si="38"/>
        <v>1</v>
      </c>
      <c r="AC64" s="128">
        <f t="shared" si="38"/>
        <v>1.04</v>
      </c>
      <c r="AD64" s="128">
        <f t="shared" si="38"/>
        <v>1.08</v>
      </c>
      <c r="AE64" s="128">
        <f t="shared" si="38"/>
        <v>1.1200000000000001</v>
      </c>
      <c r="AF64" s="128">
        <f t="shared" si="38"/>
        <v>1.1599999999999999</v>
      </c>
      <c r="AG64" s="128">
        <f t="shared" si="38"/>
        <v>1.2</v>
      </c>
      <c r="AH64" s="128">
        <f t="shared" si="38"/>
        <v>1.24</v>
      </c>
      <c r="AI64" s="128">
        <f t="shared" si="38"/>
        <v>1.28</v>
      </c>
      <c r="AJ64" s="128">
        <f t="shared" ref="AJ64:AZ64" si="39">AJ25</f>
        <v>1.32</v>
      </c>
      <c r="AK64" s="128">
        <f t="shared" si="39"/>
        <v>1.36</v>
      </c>
      <c r="AL64" s="128">
        <f t="shared" si="39"/>
        <v>1.4</v>
      </c>
      <c r="AM64" s="128">
        <f t="shared" si="39"/>
        <v>1.44</v>
      </c>
      <c r="AN64" s="128">
        <f t="shared" si="39"/>
        <v>1.48</v>
      </c>
      <c r="AO64" s="128">
        <f t="shared" si="39"/>
        <v>1.52</v>
      </c>
      <c r="AP64" s="128">
        <f t="shared" si="39"/>
        <v>1.56</v>
      </c>
      <c r="AQ64" s="128">
        <f t="shared" si="39"/>
        <v>1.6</v>
      </c>
      <c r="AR64" s="128">
        <f t="shared" si="39"/>
        <v>1.64</v>
      </c>
      <c r="AS64" s="128">
        <f t="shared" si="39"/>
        <v>1.68</v>
      </c>
      <c r="AT64" s="128">
        <f t="shared" si="39"/>
        <v>1.72</v>
      </c>
      <c r="AU64" s="128">
        <f t="shared" si="39"/>
        <v>1.76</v>
      </c>
      <c r="AV64" s="128">
        <f t="shared" si="39"/>
        <v>1.8</v>
      </c>
      <c r="AW64" s="128">
        <f t="shared" si="39"/>
        <v>1.84</v>
      </c>
      <c r="AX64" s="128">
        <f t="shared" si="39"/>
        <v>1.88</v>
      </c>
      <c r="AY64" s="128">
        <f t="shared" si="39"/>
        <v>1.92</v>
      </c>
      <c r="AZ64" s="128">
        <f t="shared" si="39"/>
        <v>1.96</v>
      </c>
    </row>
    <row r="65" spans="1:52" x14ac:dyDescent="0.2">
      <c r="A65" s="127">
        <v>1</v>
      </c>
      <c r="B65" s="113">
        <v>5</v>
      </c>
      <c r="C65" s="111">
        <f t="shared" ref="C65:L74" si="40">0+((2000*(base_stat+C$64)) * $B65)</f>
        <v>19000</v>
      </c>
      <c r="D65" s="111">
        <f t="shared" si="40"/>
        <v>19400</v>
      </c>
      <c r="E65" s="111">
        <f t="shared" si="40"/>
        <v>19800</v>
      </c>
      <c r="F65" s="111">
        <f t="shared" si="40"/>
        <v>20200</v>
      </c>
      <c r="G65" s="111">
        <f t="shared" si="40"/>
        <v>20600</v>
      </c>
      <c r="H65" s="111">
        <f t="shared" si="40"/>
        <v>21000</v>
      </c>
      <c r="I65" s="111">
        <f t="shared" si="40"/>
        <v>21399.999999999996</v>
      </c>
      <c r="J65" s="111">
        <f t="shared" si="40"/>
        <v>21799.999999999996</v>
      </c>
      <c r="K65" s="111">
        <f t="shared" si="40"/>
        <v>22199.999999999996</v>
      </c>
      <c r="L65" s="111">
        <f t="shared" si="40"/>
        <v>22600</v>
      </c>
      <c r="M65" s="111">
        <f t="shared" ref="M65:V74" si="41">0+((2000*(base_stat+M$64)) * $B65)</f>
        <v>23000</v>
      </c>
      <c r="N65" s="111">
        <f t="shared" si="41"/>
        <v>23400</v>
      </c>
      <c r="O65" s="111">
        <f t="shared" si="41"/>
        <v>23800</v>
      </c>
      <c r="P65" s="111">
        <f t="shared" si="41"/>
        <v>24200</v>
      </c>
      <c r="Q65" s="111">
        <f t="shared" si="41"/>
        <v>24600</v>
      </c>
      <c r="R65" s="111">
        <f t="shared" si="41"/>
        <v>25000</v>
      </c>
      <c r="S65" s="111">
        <f t="shared" si="41"/>
        <v>25400</v>
      </c>
      <c r="T65" s="111">
        <f t="shared" si="41"/>
        <v>25800</v>
      </c>
      <c r="U65" s="111">
        <f t="shared" si="41"/>
        <v>26200</v>
      </c>
      <c r="V65" s="111">
        <f t="shared" si="41"/>
        <v>26600</v>
      </c>
      <c r="W65" s="114">
        <f t="shared" ref="W65:AF74" si="42">0+((2000*(base_stat+W$64)) * $B65)</f>
        <v>27000</v>
      </c>
      <c r="X65" s="111">
        <f t="shared" si="42"/>
        <v>27399.999999999996</v>
      </c>
      <c r="Y65" s="111">
        <f t="shared" si="42"/>
        <v>27800</v>
      </c>
      <c r="Z65" s="125">
        <f t="shared" si="42"/>
        <v>28200</v>
      </c>
      <c r="AA65" s="125">
        <f t="shared" si="42"/>
        <v>28600</v>
      </c>
      <c r="AB65" s="125">
        <f t="shared" si="42"/>
        <v>29000</v>
      </c>
      <c r="AC65" s="125">
        <f t="shared" si="42"/>
        <v>29400</v>
      </c>
      <c r="AD65" s="125">
        <f t="shared" si="42"/>
        <v>29800</v>
      </c>
      <c r="AE65" s="125">
        <f t="shared" si="42"/>
        <v>30200</v>
      </c>
      <c r="AF65" s="125">
        <f t="shared" si="42"/>
        <v>30599.999999999996</v>
      </c>
      <c r="AG65" s="125">
        <f t="shared" ref="AG65:AP74" si="43">0+((2000*(base_stat+AG$64)) * $B65)</f>
        <v>30999.999999999996</v>
      </c>
      <c r="AH65" s="125">
        <f t="shared" si="43"/>
        <v>31399.999999999996</v>
      </c>
      <c r="AI65" s="125">
        <f t="shared" si="43"/>
        <v>31799.999999999996</v>
      </c>
      <c r="AJ65" s="125">
        <f t="shared" si="43"/>
        <v>32199.999999999996</v>
      </c>
      <c r="AK65" s="125">
        <f t="shared" si="43"/>
        <v>32600</v>
      </c>
      <c r="AL65" s="125">
        <f t="shared" si="43"/>
        <v>33000</v>
      </c>
      <c r="AM65" s="125">
        <f t="shared" si="43"/>
        <v>33400</v>
      </c>
      <c r="AN65" s="125">
        <f t="shared" si="43"/>
        <v>33800</v>
      </c>
      <c r="AO65" s="125">
        <f t="shared" si="43"/>
        <v>34200</v>
      </c>
      <c r="AP65" s="125">
        <f t="shared" si="43"/>
        <v>34600</v>
      </c>
      <c r="AQ65" s="125">
        <f t="shared" ref="AQ65:AZ74" si="44">0+((2000*(base_stat+AQ$64)) * $B65)</f>
        <v>35000</v>
      </c>
      <c r="AR65" s="125">
        <f t="shared" si="44"/>
        <v>35400</v>
      </c>
      <c r="AS65" s="125">
        <f t="shared" si="44"/>
        <v>35800</v>
      </c>
      <c r="AT65" s="125">
        <f t="shared" si="44"/>
        <v>36200</v>
      </c>
      <c r="AU65" s="125">
        <f t="shared" si="44"/>
        <v>36600</v>
      </c>
      <c r="AV65" s="125">
        <f t="shared" si="44"/>
        <v>37000</v>
      </c>
      <c r="AW65" s="125">
        <f t="shared" si="44"/>
        <v>37400</v>
      </c>
      <c r="AX65" s="125">
        <f t="shared" si="44"/>
        <v>37800</v>
      </c>
      <c r="AY65" s="125">
        <f t="shared" si="44"/>
        <v>38200</v>
      </c>
      <c r="AZ65" s="125">
        <f t="shared" si="44"/>
        <v>38600</v>
      </c>
    </row>
    <row r="66" spans="1:52" x14ac:dyDescent="0.2">
      <c r="A66" s="127">
        <v>2</v>
      </c>
      <c r="B66" s="113">
        <v>6</v>
      </c>
      <c r="C66" s="132">
        <f t="shared" si="40"/>
        <v>22800</v>
      </c>
      <c r="D66" s="132">
        <f t="shared" si="40"/>
        <v>23280</v>
      </c>
      <c r="E66" s="111">
        <f t="shared" si="40"/>
        <v>23760</v>
      </c>
      <c r="F66" s="111">
        <f t="shared" si="40"/>
        <v>24240</v>
      </c>
      <c r="G66" s="111">
        <f t="shared" si="40"/>
        <v>24720</v>
      </c>
      <c r="H66" s="111">
        <f t="shared" si="40"/>
        <v>25200</v>
      </c>
      <c r="I66" s="111">
        <f t="shared" si="40"/>
        <v>25679.999999999993</v>
      </c>
      <c r="J66" s="111">
        <f t="shared" si="40"/>
        <v>26159.999999999993</v>
      </c>
      <c r="K66" s="111">
        <f t="shared" si="40"/>
        <v>26639.999999999993</v>
      </c>
      <c r="L66" s="111">
        <f t="shared" si="40"/>
        <v>27120</v>
      </c>
      <c r="M66" s="111">
        <f t="shared" si="41"/>
        <v>27600</v>
      </c>
      <c r="N66" s="111">
        <f t="shared" si="41"/>
        <v>28080</v>
      </c>
      <c r="O66" s="111">
        <f t="shared" si="41"/>
        <v>28560</v>
      </c>
      <c r="P66" s="111">
        <f t="shared" si="41"/>
        <v>29040</v>
      </c>
      <c r="Q66" s="111">
        <f t="shared" si="41"/>
        <v>29520</v>
      </c>
      <c r="R66" s="111">
        <f t="shared" si="41"/>
        <v>30000</v>
      </c>
      <c r="S66" s="111">
        <f t="shared" si="41"/>
        <v>30480</v>
      </c>
      <c r="T66" s="111">
        <f t="shared" si="41"/>
        <v>30960</v>
      </c>
      <c r="U66" s="111">
        <f t="shared" si="41"/>
        <v>31440</v>
      </c>
      <c r="V66" s="111">
        <f t="shared" si="41"/>
        <v>31920</v>
      </c>
      <c r="W66" s="111">
        <f t="shared" si="42"/>
        <v>32400</v>
      </c>
      <c r="X66" s="111">
        <f t="shared" si="42"/>
        <v>32879.999999999993</v>
      </c>
      <c r="Y66" s="111">
        <f t="shared" si="42"/>
        <v>33360</v>
      </c>
      <c r="Z66" s="125">
        <f t="shared" si="42"/>
        <v>33840</v>
      </c>
      <c r="AA66" s="125">
        <f t="shared" si="42"/>
        <v>34320</v>
      </c>
      <c r="AB66" s="125">
        <f t="shared" si="42"/>
        <v>34800</v>
      </c>
      <c r="AC66" s="125">
        <f t="shared" si="42"/>
        <v>35280</v>
      </c>
      <c r="AD66" s="125">
        <f t="shared" si="42"/>
        <v>35760</v>
      </c>
      <c r="AE66" s="125">
        <f t="shared" si="42"/>
        <v>36240</v>
      </c>
      <c r="AF66" s="125">
        <f t="shared" si="42"/>
        <v>36719.999999999993</v>
      </c>
      <c r="AG66" s="125">
        <f t="shared" si="43"/>
        <v>37199.999999999993</v>
      </c>
      <c r="AH66" s="125">
        <f t="shared" si="43"/>
        <v>37679.999999999993</v>
      </c>
      <c r="AI66" s="125">
        <f t="shared" si="43"/>
        <v>38159.999999999993</v>
      </c>
      <c r="AJ66" s="125">
        <f t="shared" si="43"/>
        <v>38639.999999999993</v>
      </c>
      <c r="AK66" s="125">
        <f t="shared" si="43"/>
        <v>39120</v>
      </c>
      <c r="AL66" s="125">
        <f t="shared" si="43"/>
        <v>39600</v>
      </c>
      <c r="AM66" s="125">
        <f t="shared" si="43"/>
        <v>40080</v>
      </c>
      <c r="AN66" s="125">
        <f t="shared" si="43"/>
        <v>40560</v>
      </c>
      <c r="AO66" s="125">
        <f t="shared" si="43"/>
        <v>41040</v>
      </c>
      <c r="AP66" s="125">
        <f t="shared" si="43"/>
        <v>41520</v>
      </c>
      <c r="AQ66" s="125">
        <f t="shared" si="44"/>
        <v>42000</v>
      </c>
      <c r="AR66" s="125">
        <f t="shared" si="44"/>
        <v>42480</v>
      </c>
      <c r="AS66" s="125">
        <f t="shared" si="44"/>
        <v>42960</v>
      </c>
      <c r="AT66" s="125">
        <f t="shared" si="44"/>
        <v>43440</v>
      </c>
      <c r="AU66" s="125">
        <f t="shared" si="44"/>
        <v>43920</v>
      </c>
      <c r="AV66" s="125">
        <f t="shared" si="44"/>
        <v>44400</v>
      </c>
      <c r="AW66" s="125">
        <f t="shared" si="44"/>
        <v>44880</v>
      </c>
      <c r="AX66" s="125">
        <f t="shared" si="44"/>
        <v>45360</v>
      </c>
      <c r="AY66" s="125">
        <f t="shared" si="44"/>
        <v>45840</v>
      </c>
      <c r="AZ66" s="125">
        <f t="shared" si="44"/>
        <v>46320</v>
      </c>
    </row>
    <row r="67" spans="1:52" x14ac:dyDescent="0.2">
      <c r="A67" s="127">
        <v>3</v>
      </c>
      <c r="B67" s="113">
        <v>7</v>
      </c>
      <c r="C67" s="132">
        <f t="shared" si="40"/>
        <v>26600</v>
      </c>
      <c r="D67" s="132">
        <f t="shared" si="40"/>
        <v>27160</v>
      </c>
      <c r="E67" s="132">
        <f t="shared" si="40"/>
        <v>27720</v>
      </c>
      <c r="F67" s="111">
        <f t="shared" si="40"/>
        <v>28280</v>
      </c>
      <c r="G67" s="111">
        <f t="shared" si="40"/>
        <v>28840</v>
      </c>
      <c r="H67" s="111">
        <f t="shared" si="40"/>
        <v>29400</v>
      </c>
      <c r="I67" s="111">
        <f t="shared" si="40"/>
        <v>29959.999999999993</v>
      </c>
      <c r="J67" s="111">
        <f t="shared" si="40"/>
        <v>30519.999999999993</v>
      </c>
      <c r="K67" s="111">
        <f t="shared" si="40"/>
        <v>31079.999999999993</v>
      </c>
      <c r="L67" s="111">
        <f t="shared" si="40"/>
        <v>31640</v>
      </c>
      <c r="M67" s="111">
        <f t="shared" si="41"/>
        <v>32200</v>
      </c>
      <c r="N67" s="111">
        <f t="shared" si="41"/>
        <v>32760</v>
      </c>
      <c r="O67" s="111">
        <f t="shared" si="41"/>
        <v>33320</v>
      </c>
      <c r="P67" s="111">
        <f t="shared" si="41"/>
        <v>33880</v>
      </c>
      <c r="Q67" s="111">
        <f t="shared" si="41"/>
        <v>34440</v>
      </c>
      <c r="R67" s="111">
        <f t="shared" si="41"/>
        <v>35000</v>
      </c>
      <c r="S67" s="111">
        <f t="shared" si="41"/>
        <v>35560</v>
      </c>
      <c r="T67" s="111">
        <f t="shared" si="41"/>
        <v>36120</v>
      </c>
      <c r="U67" s="111">
        <f t="shared" si="41"/>
        <v>36680</v>
      </c>
      <c r="V67" s="111">
        <f t="shared" si="41"/>
        <v>37240</v>
      </c>
      <c r="W67" s="111">
        <f t="shared" si="42"/>
        <v>37800</v>
      </c>
      <c r="X67" s="111">
        <f t="shared" si="42"/>
        <v>38359.999999999993</v>
      </c>
      <c r="Y67" s="111">
        <f t="shared" si="42"/>
        <v>38920</v>
      </c>
      <c r="Z67" s="125">
        <f t="shared" si="42"/>
        <v>39480</v>
      </c>
      <c r="AA67" s="125">
        <f t="shared" si="42"/>
        <v>40040</v>
      </c>
      <c r="AB67" s="125">
        <f t="shared" si="42"/>
        <v>40600</v>
      </c>
      <c r="AC67" s="125">
        <f t="shared" si="42"/>
        <v>41160</v>
      </c>
      <c r="AD67" s="125">
        <f t="shared" si="42"/>
        <v>41720</v>
      </c>
      <c r="AE67" s="125">
        <f t="shared" si="42"/>
        <v>42280</v>
      </c>
      <c r="AF67" s="125">
        <f t="shared" si="42"/>
        <v>42839.999999999993</v>
      </c>
      <c r="AG67" s="125">
        <f t="shared" si="43"/>
        <v>43399.999999999993</v>
      </c>
      <c r="AH67" s="125">
        <f t="shared" si="43"/>
        <v>43959.999999999993</v>
      </c>
      <c r="AI67" s="125">
        <f t="shared" si="43"/>
        <v>44519.999999999993</v>
      </c>
      <c r="AJ67" s="125">
        <f t="shared" si="43"/>
        <v>45079.999999999993</v>
      </c>
      <c r="AK67" s="125">
        <f t="shared" si="43"/>
        <v>45640</v>
      </c>
      <c r="AL67" s="125">
        <f t="shared" si="43"/>
        <v>46200</v>
      </c>
      <c r="AM67" s="125">
        <f t="shared" si="43"/>
        <v>46760</v>
      </c>
      <c r="AN67" s="125">
        <f t="shared" si="43"/>
        <v>47320</v>
      </c>
      <c r="AO67" s="125">
        <f t="shared" si="43"/>
        <v>47880</v>
      </c>
      <c r="AP67" s="125">
        <f t="shared" si="43"/>
        <v>48440</v>
      </c>
      <c r="AQ67" s="125">
        <f t="shared" si="44"/>
        <v>49000</v>
      </c>
      <c r="AR67" s="125">
        <f t="shared" si="44"/>
        <v>49560</v>
      </c>
      <c r="AS67" s="125">
        <f t="shared" si="44"/>
        <v>50120</v>
      </c>
      <c r="AT67" s="125">
        <f t="shared" si="44"/>
        <v>50680</v>
      </c>
      <c r="AU67" s="125">
        <f t="shared" si="44"/>
        <v>51240</v>
      </c>
      <c r="AV67" s="125">
        <f t="shared" si="44"/>
        <v>51800</v>
      </c>
      <c r="AW67" s="125">
        <f t="shared" si="44"/>
        <v>52360</v>
      </c>
      <c r="AX67" s="125">
        <f t="shared" si="44"/>
        <v>52920</v>
      </c>
      <c r="AY67" s="125">
        <f t="shared" si="44"/>
        <v>53480</v>
      </c>
      <c r="AZ67" s="125">
        <f t="shared" si="44"/>
        <v>54040</v>
      </c>
    </row>
    <row r="68" spans="1:52" x14ac:dyDescent="0.2">
      <c r="A68" s="127">
        <v>4</v>
      </c>
      <c r="B68" s="113">
        <v>8</v>
      </c>
      <c r="C68" s="132">
        <f t="shared" si="40"/>
        <v>30400</v>
      </c>
      <c r="D68" s="132">
        <f t="shared" si="40"/>
        <v>31040</v>
      </c>
      <c r="E68" s="132">
        <f t="shared" si="40"/>
        <v>31680</v>
      </c>
      <c r="F68" s="132">
        <f t="shared" si="40"/>
        <v>32320</v>
      </c>
      <c r="G68" s="132">
        <f t="shared" si="40"/>
        <v>32960</v>
      </c>
      <c r="H68" s="111">
        <f t="shared" si="40"/>
        <v>33600</v>
      </c>
      <c r="I68" s="111">
        <f t="shared" si="40"/>
        <v>34239.999999999993</v>
      </c>
      <c r="J68" s="111">
        <f t="shared" si="40"/>
        <v>34879.999999999993</v>
      </c>
      <c r="K68" s="111">
        <f t="shared" si="40"/>
        <v>35519.999999999993</v>
      </c>
      <c r="L68" s="111">
        <f t="shared" si="40"/>
        <v>36160</v>
      </c>
      <c r="M68" s="111">
        <f t="shared" si="41"/>
        <v>36800</v>
      </c>
      <c r="N68" s="111">
        <f t="shared" si="41"/>
        <v>37440</v>
      </c>
      <c r="O68" s="111">
        <f t="shared" si="41"/>
        <v>38080</v>
      </c>
      <c r="P68" s="111">
        <f t="shared" si="41"/>
        <v>38720</v>
      </c>
      <c r="Q68" s="111">
        <f t="shared" si="41"/>
        <v>39360</v>
      </c>
      <c r="R68" s="111">
        <f t="shared" si="41"/>
        <v>40000</v>
      </c>
      <c r="S68" s="111">
        <f t="shared" si="41"/>
        <v>40640</v>
      </c>
      <c r="T68" s="111">
        <f t="shared" si="41"/>
        <v>41280</v>
      </c>
      <c r="U68" s="111">
        <f t="shared" si="41"/>
        <v>41920</v>
      </c>
      <c r="V68" s="111">
        <f t="shared" si="41"/>
        <v>42560</v>
      </c>
      <c r="W68" s="111">
        <f t="shared" si="42"/>
        <v>43200</v>
      </c>
      <c r="X68" s="111">
        <f t="shared" si="42"/>
        <v>43839.999999999993</v>
      </c>
      <c r="Y68" s="111">
        <f t="shared" si="42"/>
        <v>44480</v>
      </c>
      <c r="Z68" s="125">
        <f t="shared" si="42"/>
        <v>45120</v>
      </c>
      <c r="AA68" s="125">
        <f t="shared" si="42"/>
        <v>45760</v>
      </c>
      <c r="AB68" s="125">
        <f t="shared" si="42"/>
        <v>46400</v>
      </c>
      <c r="AC68" s="125">
        <f t="shared" si="42"/>
        <v>47040</v>
      </c>
      <c r="AD68" s="125">
        <f t="shared" si="42"/>
        <v>47680</v>
      </c>
      <c r="AE68" s="125">
        <f t="shared" si="42"/>
        <v>48320</v>
      </c>
      <c r="AF68" s="125">
        <f t="shared" si="42"/>
        <v>48959.999999999993</v>
      </c>
      <c r="AG68" s="125">
        <f t="shared" si="43"/>
        <v>49599.999999999993</v>
      </c>
      <c r="AH68" s="125">
        <f t="shared" si="43"/>
        <v>50239.999999999993</v>
      </c>
      <c r="AI68" s="125">
        <f t="shared" si="43"/>
        <v>50879.999999999993</v>
      </c>
      <c r="AJ68" s="125">
        <f t="shared" si="43"/>
        <v>51519.999999999993</v>
      </c>
      <c r="AK68" s="125">
        <f t="shared" si="43"/>
        <v>52160</v>
      </c>
      <c r="AL68" s="125">
        <f t="shared" si="43"/>
        <v>52800</v>
      </c>
      <c r="AM68" s="125">
        <f t="shared" si="43"/>
        <v>53440</v>
      </c>
      <c r="AN68" s="125">
        <f t="shared" si="43"/>
        <v>54080</v>
      </c>
      <c r="AO68" s="125">
        <f t="shared" si="43"/>
        <v>54720</v>
      </c>
      <c r="AP68" s="125">
        <f t="shared" si="43"/>
        <v>55360</v>
      </c>
      <c r="AQ68" s="125">
        <f t="shared" si="44"/>
        <v>56000</v>
      </c>
      <c r="AR68" s="125">
        <f t="shared" si="44"/>
        <v>56640</v>
      </c>
      <c r="AS68" s="125">
        <f t="shared" si="44"/>
        <v>57280</v>
      </c>
      <c r="AT68" s="125">
        <f t="shared" si="44"/>
        <v>57920</v>
      </c>
      <c r="AU68" s="125">
        <f t="shared" si="44"/>
        <v>58560</v>
      </c>
      <c r="AV68" s="125">
        <f t="shared" si="44"/>
        <v>59200</v>
      </c>
      <c r="AW68" s="125">
        <f t="shared" si="44"/>
        <v>59840</v>
      </c>
      <c r="AX68" s="125">
        <f t="shared" si="44"/>
        <v>60480</v>
      </c>
      <c r="AY68" s="125">
        <f t="shared" si="44"/>
        <v>61120</v>
      </c>
      <c r="AZ68" s="125">
        <f t="shared" si="44"/>
        <v>61760</v>
      </c>
    </row>
    <row r="69" spans="1:52" x14ac:dyDescent="0.2">
      <c r="A69" s="127">
        <v>5</v>
      </c>
      <c r="B69" s="113">
        <v>9</v>
      </c>
      <c r="C69" s="132">
        <f t="shared" si="40"/>
        <v>34200</v>
      </c>
      <c r="D69" s="132">
        <f t="shared" si="40"/>
        <v>34920</v>
      </c>
      <c r="E69" s="132">
        <f t="shared" si="40"/>
        <v>35640</v>
      </c>
      <c r="F69" s="132">
        <f t="shared" si="40"/>
        <v>36360</v>
      </c>
      <c r="G69" s="132">
        <f t="shared" si="40"/>
        <v>37080</v>
      </c>
      <c r="H69" s="132">
        <f t="shared" si="40"/>
        <v>37800</v>
      </c>
      <c r="I69" s="111">
        <f t="shared" si="40"/>
        <v>38519.999999999993</v>
      </c>
      <c r="J69" s="111">
        <f t="shared" si="40"/>
        <v>39239.999999999993</v>
      </c>
      <c r="K69" s="111">
        <f t="shared" si="40"/>
        <v>39959.999999999993</v>
      </c>
      <c r="L69" s="111">
        <f t="shared" si="40"/>
        <v>40680</v>
      </c>
      <c r="M69" s="111">
        <f t="shared" si="41"/>
        <v>41400</v>
      </c>
      <c r="N69" s="111">
        <f t="shared" si="41"/>
        <v>42120</v>
      </c>
      <c r="O69" s="111">
        <f t="shared" si="41"/>
        <v>42840</v>
      </c>
      <c r="P69" s="111">
        <f t="shared" si="41"/>
        <v>43560</v>
      </c>
      <c r="Q69" s="111">
        <f t="shared" si="41"/>
        <v>44280</v>
      </c>
      <c r="R69" s="111">
        <f t="shared" si="41"/>
        <v>45000</v>
      </c>
      <c r="S69" s="111">
        <f t="shared" si="41"/>
        <v>45720</v>
      </c>
      <c r="T69" s="111">
        <f t="shared" si="41"/>
        <v>46440</v>
      </c>
      <c r="U69" s="111">
        <f t="shared" si="41"/>
        <v>47160</v>
      </c>
      <c r="V69" s="111">
        <f t="shared" si="41"/>
        <v>47880</v>
      </c>
      <c r="W69" s="111">
        <f t="shared" si="42"/>
        <v>48600</v>
      </c>
      <c r="X69" s="111">
        <f t="shared" si="42"/>
        <v>49319.999999999993</v>
      </c>
      <c r="Y69" s="111">
        <f t="shared" si="42"/>
        <v>50040</v>
      </c>
      <c r="Z69" s="125">
        <f t="shared" si="42"/>
        <v>50760</v>
      </c>
      <c r="AA69" s="125">
        <f t="shared" si="42"/>
        <v>51480</v>
      </c>
      <c r="AB69" s="125">
        <f t="shared" si="42"/>
        <v>52200</v>
      </c>
      <c r="AC69" s="125">
        <f t="shared" si="42"/>
        <v>52920</v>
      </c>
      <c r="AD69" s="125">
        <f t="shared" si="42"/>
        <v>53640</v>
      </c>
      <c r="AE69" s="125">
        <f t="shared" si="42"/>
        <v>54360</v>
      </c>
      <c r="AF69" s="125">
        <f t="shared" si="42"/>
        <v>55079.999999999993</v>
      </c>
      <c r="AG69" s="125">
        <f t="shared" si="43"/>
        <v>55799.999999999993</v>
      </c>
      <c r="AH69" s="125">
        <f t="shared" si="43"/>
        <v>56519.999999999993</v>
      </c>
      <c r="AI69" s="125">
        <f t="shared" si="43"/>
        <v>57239.999999999993</v>
      </c>
      <c r="AJ69" s="125">
        <f t="shared" si="43"/>
        <v>57959.999999999993</v>
      </c>
      <c r="AK69" s="125">
        <f t="shared" si="43"/>
        <v>58680</v>
      </c>
      <c r="AL69" s="125">
        <f t="shared" si="43"/>
        <v>59400</v>
      </c>
      <c r="AM69" s="125">
        <f t="shared" si="43"/>
        <v>60120</v>
      </c>
      <c r="AN69" s="125">
        <f t="shared" si="43"/>
        <v>60840</v>
      </c>
      <c r="AO69" s="125">
        <f t="shared" si="43"/>
        <v>61560</v>
      </c>
      <c r="AP69" s="125">
        <f t="shared" si="43"/>
        <v>62280</v>
      </c>
      <c r="AQ69" s="125">
        <f t="shared" si="44"/>
        <v>63000</v>
      </c>
      <c r="AR69" s="125">
        <f t="shared" si="44"/>
        <v>63720</v>
      </c>
      <c r="AS69" s="125">
        <f t="shared" si="44"/>
        <v>64440</v>
      </c>
      <c r="AT69" s="125">
        <f t="shared" si="44"/>
        <v>65160</v>
      </c>
      <c r="AU69" s="125">
        <f t="shared" si="44"/>
        <v>65880</v>
      </c>
      <c r="AV69" s="125">
        <f t="shared" si="44"/>
        <v>66600</v>
      </c>
      <c r="AW69" s="125">
        <f t="shared" si="44"/>
        <v>67320</v>
      </c>
      <c r="AX69" s="125">
        <f t="shared" si="44"/>
        <v>68040</v>
      </c>
      <c r="AY69" s="125">
        <f t="shared" si="44"/>
        <v>68760</v>
      </c>
      <c r="AZ69" s="125">
        <f t="shared" si="44"/>
        <v>69480</v>
      </c>
    </row>
    <row r="70" spans="1:52" x14ac:dyDescent="0.2">
      <c r="A70" s="127">
        <v>6</v>
      </c>
      <c r="B70" s="113">
        <v>10</v>
      </c>
      <c r="C70" s="132">
        <f t="shared" si="40"/>
        <v>38000</v>
      </c>
      <c r="D70" s="132">
        <f t="shared" si="40"/>
        <v>38800</v>
      </c>
      <c r="E70" s="132">
        <f t="shared" si="40"/>
        <v>39600</v>
      </c>
      <c r="F70" s="132">
        <f t="shared" si="40"/>
        <v>40400</v>
      </c>
      <c r="G70" s="132">
        <f t="shared" si="40"/>
        <v>41200</v>
      </c>
      <c r="H70" s="132">
        <f t="shared" si="40"/>
        <v>42000</v>
      </c>
      <c r="I70" s="132">
        <f t="shared" si="40"/>
        <v>42799.999999999993</v>
      </c>
      <c r="J70" s="132">
        <f t="shared" si="40"/>
        <v>43599.999999999993</v>
      </c>
      <c r="K70" s="111">
        <f t="shared" si="40"/>
        <v>44399.999999999993</v>
      </c>
      <c r="L70" s="111">
        <f t="shared" si="40"/>
        <v>45200</v>
      </c>
      <c r="M70" s="111">
        <f t="shared" si="41"/>
        <v>46000</v>
      </c>
      <c r="N70" s="111">
        <f t="shared" si="41"/>
        <v>46800</v>
      </c>
      <c r="O70" s="111">
        <f t="shared" si="41"/>
        <v>47600</v>
      </c>
      <c r="P70" s="111">
        <f t="shared" si="41"/>
        <v>48400</v>
      </c>
      <c r="Q70" s="111">
        <f t="shared" si="41"/>
        <v>49200</v>
      </c>
      <c r="R70" s="111">
        <f t="shared" si="41"/>
        <v>50000</v>
      </c>
      <c r="S70" s="111">
        <f t="shared" si="41"/>
        <v>50800</v>
      </c>
      <c r="T70" s="111">
        <f t="shared" si="41"/>
        <v>51600</v>
      </c>
      <c r="U70" s="111">
        <f t="shared" si="41"/>
        <v>52400</v>
      </c>
      <c r="V70" s="111">
        <f t="shared" si="41"/>
        <v>53200</v>
      </c>
      <c r="W70" s="111">
        <f t="shared" si="42"/>
        <v>54000</v>
      </c>
      <c r="X70" s="111">
        <f t="shared" si="42"/>
        <v>54799.999999999993</v>
      </c>
      <c r="Y70" s="111">
        <f t="shared" si="42"/>
        <v>55600</v>
      </c>
      <c r="Z70" s="125">
        <f t="shared" si="42"/>
        <v>56400</v>
      </c>
      <c r="AA70" s="125">
        <f t="shared" si="42"/>
        <v>57200</v>
      </c>
      <c r="AB70" s="125">
        <f t="shared" si="42"/>
        <v>58000</v>
      </c>
      <c r="AC70" s="125">
        <f t="shared" si="42"/>
        <v>58800</v>
      </c>
      <c r="AD70" s="125">
        <f t="shared" si="42"/>
        <v>59600</v>
      </c>
      <c r="AE70" s="125">
        <f t="shared" si="42"/>
        <v>60400</v>
      </c>
      <c r="AF70" s="125">
        <f t="shared" si="42"/>
        <v>61199.999999999993</v>
      </c>
      <c r="AG70" s="125">
        <f t="shared" si="43"/>
        <v>61999.999999999993</v>
      </c>
      <c r="AH70" s="125">
        <f t="shared" si="43"/>
        <v>62799.999999999993</v>
      </c>
      <c r="AI70" s="125">
        <f t="shared" si="43"/>
        <v>63599.999999999993</v>
      </c>
      <c r="AJ70" s="125">
        <f t="shared" si="43"/>
        <v>64399.999999999993</v>
      </c>
      <c r="AK70" s="125">
        <f t="shared" si="43"/>
        <v>65200</v>
      </c>
      <c r="AL70" s="125">
        <f t="shared" si="43"/>
        <v>66000</v>
      </c>
      <c r="AM70" s="125">
        <f t="shared" si="43"/>
        <v>66800</v>
      </c>
      <c r="AN70" s="125">
        <f t="shared" si="43"/>
        <v>67600</v>
      </c>
      <c r="AO70" s="125">
        <f t="shared" si="43"/>
        <v>68400</v>
      </c>
      <c r="AP70" s="125">
        <f t="shared" si="43"/>
        <v>69200</v>
      </c>
      <c r="AQ70" s="125">
        <f t="shared" si="44"/>
        <v>70000</v>
      </c>
      <c r="AR70" s="125">
        <f t="shared" si="44"/>
        <v>70800</v>
      </c>
      <c r="AS70" s="125">
        <f t="shared" si="44"/>
        <v>71600</v>
      </c>
      <c r="AT70" s="125">
        <f t="shared" si="44"/>
        <v>72400</v>
      </c>
      <c r="AU70" s="125">
        <f t="shared" si="44"/>
        <v>73200</v>
      </c>
      <c r="AV70" s="125">
        <f t="shared" si="44"/>
        <v>74000</v>
      </c>
      <c r="AW70" s="125">
        <f t="shared" si="44"/>
        <v>74800</v>
      </c>
      <c r="AX70" s="125">
        <f t="shared" si="44"/>
        <v>75600</v>
      </c>
      <c r="AY70" s="125">
        <f t="shared" si="44"/>
        <v>76400</v>
      </c>
      <c r="AZ70" s="125">
        <f t="shared" si="44"/>
        <v>77200</v>
      </c>
    </row>
    <row r="71" spans="1:52" x14ac:dyDescent="0.2">
      <c r="A71" s="127">
        <v>7</v>
      </c>
      <c r="B71" s="113">
        <v>11</v>
      </c>
      <c r="C71" s="132">
        <f t="shared" si="40"/>
        <v>41800</v>
      </c>
      <c r="D71" s="132">
        <f t="shared" si="40"/>
        <v>42680</v>
      </c>
      <c r="E71" s="132">
        <f t="shared" si="40"/>
        <v>43560</v>
      </c>
      <c r="F71" s="132">
        <f t="shared" si="40"/>
        <v>44440</v>
      </c>
      <c r="G71" s="132">
        <f t="shared" si="40"/>
        <v>45320</v>
      </c>
      <c r="H71" s="132">
        <f t="shared" si="40"/>
        <v>46200</v>
      </c>
      <c r="I71" s="132">
        <f t="shared" si="40"/>
        <v>47079.999999999993</v>
      </c>
      <c r="J71" s="132">
        <f t="shared" si="40"/>
        <v>47959.999999999993</v>
      </c>
      <c r="K71" s="132">
        <f t="shared" si="40"/>
        <v>48839.999999999993</v>
      </c>
      <c r="L71" s="114">
        <f t="shared" si="40"/>
        <v>49720</v>
      </c>
      <c r="M71" s="111">
        <f t="shared" si="41"/>
        <v>50600</v>
      </c>
      <c r="N71" s="111">
        <f t="shared" si="41"/>
        <v>51480</v>
      </c>
      <c r="O71" s="111">
        <f t="shared" si="41"/>
        <v>52360</v>
      </c>
      <c r="P71" s="111">
        <f t="shared" si="41"/>
        <v>53240</v>
      </c>
      <c r="Q71" s="111">
        <f t="shared" si="41"/>
        <v>54120</v>
      </c>
      <c r="R71" s="111">
        <f t="shared" si="41"/>
        <v>55000</v>
      </c>
      <c r="S71" s="111">
        <f t="shared" si="41"/>
        <v>55880</v>
      </c>
      <c r="T71" s="111">
        <f t="shared" si="41"/>
        <v>56760</v>
      </c>
      <c r="U71" s="111">
        <f t="shared" si="41"/>
        <v>57640</v>
      </c>
      <c r="V71" s="111">
        <f t="shared" si="41"/>
        <v>58520</v>
      </c>
      <c r="W71" s="111">
        <f t="shared" si="42"/>
        <v>59400</v>
      </c>
      <c r="X71" s="111">
        <f t="shared" si="42"/>
        <v>60279.999999999993</v>
      </c>
      <c r="Y71" s="111">
        <f t="shared" si="42"/>
        <v>61160</v>
      </c>
      <c r="Z71" s="125">
        <f t="shared" si="42"/>
        <v>62040</v>
      </c>
      <c r="AA71" s="125">
        <f t="shared" si="42"/>
        <v>62920</v>
      </c>
      <c r="AB71" s="125">
        <f t="shared" si="42"/>
        <v>63800</v>
      </c>
      <c r="AC71" s="125">
        <f t="shared" si="42"/>
        <v>64680</v>
      </c>
      <c r="AD71" s="125">
        <f t="shared" si="42"/>
        <v>65560</v>
      </c>
      <c r="AE71" s="125">
        <f t="shared" si="42"/>
        <v>66440</v>
      </c>
      <c r="AF71" s="125">
        <f t="shared" si="42"/>
        <v>67319.999999999985</v>
      </c>
      <c r="AG71" s="125">
        <f t="shared" si="43"/>
        <v>68199.999999999985</v>
      </c>
      <c r="AH71" s="125">
        <f t="shared" si="43"/>
        <v>69079.999999999985</v>
      </c>
      <c r="AI71" s="125">
        <f t="shared" si="43"/>
        <v>69959.999999999985</v>
      </c>
      <c r="AJ71" s="125">
        <f t="shared" si="43"/>
        <v>70839.999999999985</v>
      </c>
      <c r="AK71" s="125">
        <f t="shared" si="43"/>
        <v>71720</v>
      </c>
      <c r="AL71" s="125">
        <f t="shared" si="43"/>
        <v>72600</v>
      </c>
      <c r="AM71" s="125">
        <f t="shared" si="43"/>
        <v>73480</v>
      </c>
      <c r="AN71" s="125">
        <f t="shared" si="43"/>
        <v>74360</v>
      </c>
      <c r="AO71" s="125">
        <f t="shared" si="43"/>
        <v>75240</v>
      </c>
      <c r="AP71" s="125">
        <f t="shared" si="43"/>
        <v>76120</v>
      </c>
      <c r="AQ71" s="125">
        <f t="shared" si="44"/>
        <v>77000</v>
      </c>
      <c r="AR71" s="125">
        <f t="shared" si="44"/>
        <v>77880</v>
      </c>
      <c r="AS71" s="125">
        <f t="shared" si="44"/>
        <v>78760</v>
      </c>
      <c r="AT71" s="125">
        <f t="shared" si="44"/>
        <v>79640</v>
      </c>
      <c r="AU71" s="125">
        <f t="shared" si="44"/>
        <v>80520</v>
      </c>
      <c r="AV71" s="125">
        <f t="shared" si="44"/>
        <v>81400</v>
      </c>
      <c r="AW71" s="125">
        <f t="shared" si="44"/>
        <v>82280</v>
      </c>
      <c r="AX71" s="125">
        <f t="shared" si="44"/>
        <v>83160</v>
      </c>
      <c r="AY71" s="125">
        <f t="shared" si="44"/>
        <v>84040</v>
      </c>
      <c r="AZ71" s="125">
        <f t="shared" si="44"/>
        <v>84920</v>
      </c>
    </row>
    <row r="72" spans="1:52" x14ac:dyDescent="0.2">
      <c r="A72" s="127">
        <v>8</v>
      </c>
      <c r="B72" s="113">
        <v>12</v>
      </c>
      <c r="C72" s="132">
        <f t="shared" si="40"/>
        <v>45600</v>
      </c>
      <c r="D72" s="132">
        <f t="shared" si="40"/>
        <v>46560</v>
      </c>
      <c r="E72" s="132">
        <f t="shared" si="40"/>
        <v>47520</v>
      </c>
      <c r="F72" s="132">
        <f t="shared" si="40"/>
        <v>48480</v>
      </c>
      <c r="G72" s="132">
        <f t="shared" si="40"/>
        <v>49440</v>
      </c>
      <c r="H72" s="132">
        <f t="shared" si="40"/>
        <v>50400</v>
      </c>
      <c r="I72" s="132">
        <f t="shared" si="40"/>
        <v>51359.999999999985</v>
      </c>
      <c r="J72" s="132">
        <f t="shared" si="40"/>
        <v>52319.999999999985</v>
      </c>
      <c r="K72" s="132">
        <f t="shared" si="40"/>
        <v>53279.999999999985</v>
      </c>
      <c r="L72" s="115">
        <f t="shared" si="40"/>
        <v>54240</v>
      </c>
      <c r="M72" s="132">
        <f t="shared" si="41"/>
        <v>55200</v>
      </c>
      <c r="N72" s="111">
        <f t="shared" si="41"/>
        <v>56160</v>
      </c>
      <c r="O72" s="111">
        <f t="shared" si="41"/>
        <v>57120</v>
      </c>
      <c r="P72" s="111">
        <f t="shared" si="41"/>
        <v>58080</v>
      </c>
      <c r="Q72" s="111">
        <f t="shared" si="41"/>
        <v>59040</v>
      </c>
      <c r="R72" s="111">
        <f t="shared" si="41"/>
        <v>60000</v>
      </c>
      <c r="S72" s="111">
        <f t="shared" si="41"/>
        <v>60960</v>
      </c>
      <c r="T72" s="111">
        <f t="shared" si="41"/>
        <v>61920</v>
      </c>
      <c r="U72" s="111">
        <f t="shared" si="41"/>
        <v>62880</v>
      </c>
      <c r="V72" s="111">
        <f t="shared" si="41"/>
        <v>63840</v>
      </c>
      <c r="W72" s="111">
        <f t="shared" si="42"/>
        <v>64800</v>
      </c>
      <c r="X72" s="111">
        <f t="shared" si="42"/>
        <v>65759.999999999985</v>
      </c>
      <c r="Y72" s="111">
        <f t="shared" si="42"/>
        <v>66720</v>
      </c>
      <c r="Z72" s="125">
        <f t="shared" si="42"/>
        <v>67680</v>
      </c>
      <c r="AA72" s="125">
        <f t="shared" si="42"/>
        <v>68640</v>
      </c>
      <c r="AB72" s="125">
        <f t="shared" si="42"/>
        <v>69600</v>
      </c>
      <c r="AC72" s="125">
        <f t="shared" si="42"/>
        <v>70560</v>
      </c>
      <c r="AD72" s="125">
        <f t="shared" si="42"/>
        <v>71520</v>
      </c>
      <c r="AE72" s="125">
        <f t="shared" si="42"/>
        <v>72480</v>
      </c>
      <c r="AF72" s="125">
        <f t="shared" si="42"/>
        <v>73439.999999999985</v>
      </c>
      <c r="AG72" s="125">
        <f t="shared" si="43"/>
        <v>74399.999999999985</v>
      </c>
      <c r="AH72" s="125">
        <f t="shared" si="43"/>
        <v>75359.999999999985</v>
      </c>
      <c r="AI72" s="125">
        <f t="shared" si="43"/>
        <v>76319.999999999985</v>
      </c>
      <c r="AJ72" s="125">
        <f t="shared" si="43"/>
        <v>77279.999999999985</v>
      </c>
      <c r="AK72" s="125">
        <f t="shared" si="43"/>
        <v>78240</v>
      </c>
      <c r="AL72" s="125">
        <f t="shared" si="43"/>
        <v>79200</v>
      </c>
      <c r="AM72" s="125">
        <f t="shared" si="43"/>
        <v>80160</v>
      </c>
      <c r="AN72" s="125">
        <f t="shared" si="43"/>
        <v>81120</v>
      </c>
      <c r="AO72" s="125">
        <f t="shared" si="43"/>
        <v>82080</v>
      </c>
      <c r="AP72" s="125">
        <f t="shared" si="43"/>
        <v>83040</v>
      </c>
      <c r="AQ72" s="125">
        <f t="shared" si="44"/>
        <v>84000</v>
      </c>
      <c r="AR72" s="125">
        <f t="shared" si="44"/>
        <v>84960</v>
      </c>
      <c r="AS72" s="125">
        <f t="shared" si="44"/>
        <v>85920</v>
      </c>
      <c r="AT72" s="125">
        <f t="shared" si="44"/>
        <v>86880</v>
      </c>
      <c r="AU72" s="125">
        <f t="shared" si="44"/>
        <v>87840</v>
      </c>
      <c r="AV72" s="125">
        <f t="shared" si="44"/>
        <v>88800</v>
      </c>
      <c r="AW72" s="125">
        <f t="shared" si="44"/>
        <v>89760</v>
      </c>
      <c r="AX72" s="125">
        <f t="shared" si="44"/>
        <v>90720</v>
      </c>
      <c r="AY72" s="125">
        <f t="shared" si="44"/>
        <v>91680</v>
      </c>
      <c r="AZ72" s="125">
        <f t="shared" si="44"/>
        <v>92640</v>
      </c>
    </row>
    <row r="73" spans="1:52" x14ac:dyDescent="0.2">
      <c r="A73" s="127">
        <v>9</v>
      </c>
      <c r="B73" s="113">
        <v>13</v>
      </c>
      <c r="C73" s="132">
        <f t="shared" si="40"/>
        <v>49400</v>
      </c>
      <c r="D73" s="132">
        <f t="shared" si="40"/>
        <v>50440</v>
      </c>
      <c r="E73" s="132">
        <f t="shared" si="40"/>
        <v>51480</v>
      </c>
      <c r="F73" s="132">
        <f t="shared" si="40"/>
        <v>52520</v>
      </c>
      <c r="G73" s="132">
        <f t="shared" si="40"/>
        <v>53560</v>
      </c>
      <c r="H73" s="132">
        <f t="shared" si="40"/>
        <v>54600</v>
      </c>
      <c r="I73" s="132">
        <f t="shared" si="40"/>
        <v>55639.999999999985</v>
      </c>
      <c r="J73" s="132">
        <f t="shared" si="40"/>
        <v>56679.999999999985</v>
      </c>
      <c r="K73" s="132">
        <f t="shared" si="40"/>
        <v>57719.999999999985</v>
      </c>
      <c r="L73" s="132">
        <f t="shared" si="40"/>
        <v>58760</v>
      </c>
      <c r="M73" s="132">
        <f t="shared" si="41"/>
        <v>59800</v>
      </c>
      <c r="N73" s="132">
        <f t="shared" si="41"/>
        <v>60840</v>
      </c>
      <c r="O73" s="111">
        <f t="shared" si="41"/>
        <v>61880</v>
      </c>
      <c r="P73" s="111">
        <f t="shared" si="41"/>
        <v>62920</v>
      </c>
      <c r="Q73" s="111">
        <f t="shared" si="41"/>
        <v>63960</v>
      </c>
      <c r="R73" s="111">
        <f t="shared" si="41"/>
        <v>65000</v>
      </c>
      <c r="S73" s="111">
        <f t="shared" si="41"/>
        <v>66040</v>
      </c>
      <c r="T73" s="111">
        <f t="shared" si="41"/>
        <v>67080</v>
      </c>
      <c r="U73" s="111">
        <f t="shared" si="41"/>
        <v>68120</v>
      </c>
      <c r="V73" s="111">
        <f t="shared" si="41"/>
        <v>69160</v>
      </c>
      <c r="W73" s="111">
        <f t="shared" si="42"/>
        <v>70200</v>
      </c>
      <c r="X73" s="111">
        <f t="shared" si="42"/>
        <v>71239.999999999985</v>
      </c>
      <c r="Y73" s="111">
        <f t="shared" si="42"/>
        <v>72280</v>
      </c>
      <c r="Z73" s="125">
        <f t="shared" si="42"/>
        <v>73320</v>
      </c>
      <c r="AA73" s="125">
        <f t="shared" si="42"/>
        <v>74360</v>
      </c>
      <c r="AB73" s="125">
        <f t="shared" si="42"/>
        <v>75400</v>
      </c>
      <c r="AC73" s="125">
        <f t="shared" si="42"/>
        <v>76440</v>
      </c>
      <c r="AD73" s="125">
        <f t="shared" si="42"/>
        <v>77480</v>
      </c>
      <c r="AE73" s="125">
        <f t="shared" si="42"/>
        <v>78520</v>
      </c>
      <c r="AF73" s="125">
        <f t="shared" si="42"/>
        <v>79559.999999999985</v>
      </c>
      <c r="AG73" s="125">
        <f t="shared" si="43"/>
        <v>80599.999999999985</v>
      </c>
      <c r="AH73" s="125">
        <f t="shared" si="43"/>
        <v>81639.999999999985</v>
      </c>
      <c r="AI73" s="125">
        <f t="shared" si="43"/>
        <v>82679.999999999985</v>
      </c>
      <c r="AJ73" s="125">
        <f t="shared" si="43"/>
        <v>83719.999999999985</v>
      </c>
      <c r="AK73" s="125">
        <f t="shared" si="43"/>
        <v>84760</v>
      </c>
      <c r="AL73" s="125">
        <f t="shared" si="43"/>
        <v>85800</v>
      </c>
      <c r="AM73" s="125">
        <f t="shared" si="43"/>
        <v>86840</v>
      </c>
      <c r="AN73" s="125">
        <f t="shared" si="43"/>
        <v>87880</v>
      </c>
      <c r="AO73" s="125">
        <f t="shared" si="43"/>
        <v>88920</v>
      </c>
      <c r="AP73" s="125">
        <f t="shared" si="43"/>
        <v>89960</v>
      </c>
      <c r="AQ73" s="125">
        <f t="shared" si="44"/>
        <v>91000</v>
      </c>
      <c r="AR73" s="125">
        <f t="shared" si="44"/>
        <v>92040</v>
      </c>
      <c r="AS73" s="125">
        <f t="shared" si="44"/>
        <v>93080</v>
      </c>
      <c r="AT73" s="125">
        <f t="shared" si="44"/>
        <v>94120</v>
      </c>
      <c r="AU73" s="125">
        <f t="shared" si="44"/>
        <v>95160</v>
      </c>
      <c r="AV73" s="125">
        <f t="shared" si="44"/>
        <v>96200</v>
      </c>
      <c r="AW73" s="125">
        <f t="shared" si="44"/>
        <v>97240</v>
      </c>
      <c r="AX73" s="125">
        <f t="shared" si="44"/>
        <v>98280</v>
      </c>
      <c r="AY73" s="125">
        <f t="shared" si="44"/>
        <v>99320</v>
      </c>
      <c r="AZ73" s="125">
        <f t="shared" si="44"/>
        <v>100360</v>
      </c>
    </row>
    <row r="74" spans="1:52" x14ac:dyDescent="0.2">
      <c r="A74" s="127">
        <v>10</v>
      </c>
      <c r="B74" s="113">
        <v>14</v>
      </c>
      <c r="C74" s="132">
        <f t="shared" si="40"/>
        <v>53200</v>
      </c>
      <c r="D74" s="132">
        <f t="shared" si="40"/>
        <v>54320</v>
      </c>
      <c r="E74" s="132">
        <f t="shared" si="40"/>
        <v>55440</v>
      </c>
      <c r="F74" s="132">
        <f t="shared" si="40"/>
        <v>56560</v>
      </c>
      <c r="G74" s="132">
        <f t="shared" si="40"/>
        <v>57680</v>
      </c>
      <c r="H74" s="132">
        <f t="shared" si="40"/>
        <v>58800</v>
      </c>
      <c r="I74" s="132">
        <f t="shared" si="40"/>
        <v>59919.999999999985</v>
      </c>
      <c r="J74" s="132">
        <f t="shared" si="40"/>
        <v>61039.999999999985</v>
      </c>
      <c r="K74" s="132">
        <f t="shared" si="40"/>
        <v>62159.999999999985</v>
      </c>
      <c r="L74" s="132">
        <f t="shared" si="40"/>
        <v>63280</v>
      </c>
      <c r="M74" s="132">
        <f t="shared" si="41"/>
        <v>64400</v>
      </c>
      <c r="N74" s="132">
        <f t="shared" si="41"/>
        <v>65520</v>
      </c>
      <c r="O74" s="132">
        <f t="shared" si="41"/>
        <v>66640</v>
      </c>
      <c r="P74" s="132">
        <f t="shared" si="41"/>
        <v>67760</v>
      </c>
      <c r="Q74" s="111">
        <f t="shared" si="41"/>
        <v>68880</v>
      </c>
      <c r="R74" s="111">
        <f t="shared" si="41"/>
        <v>70000</v>
      </c>
      <c r="S74" s="111">
        <f t="shared" si="41"/>
        <v>71120</v>
      </c>
      <c r="T74" s="111">
        <f t="shared" si="41"/>
        <v>72240</v>
      </c>
      <c r="U74" s="111">
        <f t="shared" si="41"/>
        <v>73360</v>
      </c>
      <c r="V74" s="111">
        <f t="shared" si="41"/>
        <v>74480</v>
      </c>
      <c r="W74" s="111">
        <f t="shared" si="42"/>
        <v>75600</v>
      </c>
      <c r="X74" s="111">
        <f t="shared" si="42"/>
        <v>76719.999999999985</v>
      </c>
      <c r="Y74" s="111">
        <f t="shared" si="42"/>
        <v>77840</v>
      </c>
      <c r="Z74" s="125">
        <f t="shared" si="42"/>
        <v>78960</v>
      </c>
      <c r="AA74" s="125">
        <f t="shared" si="42"/>
        <v>80080</v>
      </c>
      <c r="AB74" s="125">
        <f t="shared" si="42"/>
        <v>81200</v>
      </c>
      <c r="AC74" s="125">
        <f t="shared" si="42"/>
        <v>82320</v>
      </c>
      <c r="AD74" s="125">
        <f t="shared" si="42"/>
        <v>83440</v>
      </c>
      <c r="AE74" s="125">
        <f t="shared" si="42"/>
        <v>84560</v>
      </c>
      <c r="AF74" s="125">
        <f t="shared" si="42"/>
        <v>85679.999999999985</v>
      </c>
      <c r="AG74" s="125">
        <f t="shared" si="43"/>
        <v>86799.999999999985</v>
      </c>
      <c r="AH74" s="125">
        <f t="shared" si="43"/>
        <v>87919.999999999985</v>
      </c>
      <c r="AI74" s="125">
        <f t="shared" si="43"/>
        <v>89039.999999999985</v>
      </c>
      <c r="AJ74" s="125">
        <f t="shared" si="43"/>
        <v>90159.999999999985</v>
      </c>
      <c r="AK74" s="125">
        <f t="shared" si="43"/>
        <v>91280</v>
      </c>
      <c r="AL74" s="125">
        <f t="shared" si="43"/>
        <v>92400</v>
      </c>
      <c r="AM74" s="125">
        <f t="shared" si="43"/>
        <v>93520</v>
      </c>
      <c r="AN74" s="125">
        <f t="shared" si="43"/>
        <v>94640</v>
      </c>
      <c r="AO74" s="125">
        <f t="shared" si="43"/>
        <v>95760</v>
      </c>
      <c r="AP74" s="125">
        <f t="shared" si="43"/>
        <v>96880</v>
      </c>
      <c r="AQ74" s="125">
        <f t="shared" si="44"/>
        <v>98000</v>
      </c>
      <c r="AR74" s="125">
        <f t="shared" si="44"/>
        <v>99120</v>
      </c>
      <c r="AS74" s="125">
        <f t="shared" si="44"/>
        <v>100240</v>
      </c>
      <c r="AT74" s="125">
        <f t="shared" si="44"/>
        <v>101360</v>
      </c>
      <c r="AU74" s="125">
        <f t="shared" si="44"/>
        <v>102480</v>
      </c>
      <c r="AV74" s="125">
        <f t="shared" si="44"/>
        <v>103600</v>
      </c>
      <c r="AW74" s="125">
        <f t="shared" si="44"/>
        <v>104720</v>
      </c>
      <c r="AX74" s="125">
        <f t="shared" si="44"/>
        <v>105840</v>
      </c>
      <c r="AY74" s="125">
        <f t="shared" si="44"/>
        <v>106960</v>
      </c>
      <c r="AZ74" s="125">
        <f t="shared" si="44"/>
        <v>108080</v>
      </c>
    </row>
    <row r="75" spans="1:52" x14ac:dyDescent="0.2">
      <c r="A75" s="127">
        <v>11</v>
      </c>
      <c r="B75" s="113">
        <v>15</v>
      </c>
      <c r="C75" s="132">
        <f t="shared" ref="C75:L80" si="45">0+((2000*(base_stat+C$64)) * $B75)</f>
        <v>57000</v>
      </c>
      <c r="D75" s="132">
        <f t="shared" si="45"/>
        <v>58200</v>
      </c>
      <c r="E75" s="132">
        <f t="shared" si="45"/>
        <v>59400</v>
      </c>
      <c r="F75" s="132">
        <f t="shared" si="45"/>
        <v>60600</v>
      </c>
      <c r="G75" s="132">
        <f t="shared" si="45"/>
        <v>61800</v>
      </c>
      <c r="H75" s="132">
        <f t="shared" si="45"/>
        <v>63000</v>
      </c>
      <c r="I75" s="132">
        <f t="shared" si="45"/>
        <v>64199.999999999985</v>
      </c>
      <c r="J75" s="132">
        <f t="shared" si="45"/>
        <v>65399.999999999985</v>
      </c>
      <c r="K75" s="132">
        <f t="shared" si="45"/>
        <v>66599.999999999985</v>
      </c>
      <c r="L75" s="132">
        <f t="shared" si="45"/>
        <v>67800</v>
      </c>
      <c r="M75" s="132">
        <f t="shared" ref="M75:V80" si="46">0+((2000*(base_stat+M$64)) * $B75)</f>
        <v>69000</v>
      </c>
      <c r="N75" s="132">
        <f t="shared" si="46"/>
        <v>70200</v>
      </c>
      <c r="O75" s="132">
        <f t="shared" si="46"/>
        <v>71400</v>
      </c>
      <c r="P75" s="132">
        <f t="shared" si="46"/>
        <v>72600</v>
      </c>
      <c r="Q75" s="132">
        <f t="shared" si="46"/>
        <v>73800</v>
      </c>
      <c r="R75" s="111">
        <f t="shared" si="46"/>
        <v>75000</v>
      </c>
      <c r="S75" s="111">
        <f t="shared" si="46"/>
        <v>76200</v>
      </c>
      <c r="T75" s="111">
        <f t="shared" si="46"/>
        <v>77400</v>
      </c>
      <c r="U75" s="111">
        <f t="shared" si="46"/>
        <v>78600</v>
      </c>
      <c r="V75" s="111">
        <f t="shared" si="46"/>
        <v>79800</v>
      </c>
      <c r="W75" s="111">
        <f t="shared" ref="W75:AF80" si="47">0+((2000*(base_stat+W$64)) * $B75)</f>
        <v>81000</v>
      </c>
      <c r="X75" s="111">
        <f t="shared" si="47"/>
        <v>82199.999999999985</v>
      </c>
      <c r="Y75" s="111">
        <f t="shared" si="47"/>
        <v>83400</v>
      </c>
      <c r="Z75" s="125">
        <f t="shared" si="47"/>
        <v>84600</v>
      </c>
      <c r="AA75" s="125">
        <f t="shared" si="47"/>
        <v>85800</v>
      </c>
      <c r="AB75" s="125">
        <f t="shared" si="47"/>
        <v>87000</v>
      </c>
      <c r="AC75" s="125">
        <f t="shared" si="47"/>
        <v>88200</v>
      </c>
      <c r="AD75" s="125">
        <f t="shared" si="47"/>
        <v>89400</v>
      </c>
      <c r="AE75" s="125">
        <f t="shared" si="47"/>
        <v>90600</v>
      </c>
      <c r="AF75" s="125">
        <f t="shared" si="47"/>
        <v>91799.999999999985</v>
      </c>
      <c r="AG75" s="125">
        <f t="shared" ref="AG75:AP80" si="48">0+((2000*(base_stat+AG$64)) * $B75)</f>
        <v>92999.999999999985</v>
      </c>
      <c r="AH75" s="125">
        <f t="shared" si="48"/>
        <v>94199.999999999985</v>
      </c>
      <c r="AI75" s="125">
        <f t="shared" si="48"/>
        <v>95399.999999999985</v>
      </c>
      <c r="AJ75" s="125">
        <f t="shared" si="48"/>
        <v>96599.999999999985</v>
      </c>
      <c r="AK75" s="125">
        <f t="shared" si="48"/>
        <v>97800</v>
      </c>
      <c r="AL75" s="125">
        <f t="shared" si="48"/>
        <v>99000</v>
      </c>
      <c r="AM75" s="125">
        <f t="shared" si="48"/>
        <v>100200</v>
      </c>
      <c r="AN75" s="125">
        <f t="shared" si="48"/>
        <v>101400</v>
      </c>
      <c r="AO75" s="125">
        <f t="shared" si="48"/>
        <v>102600</v>
      </c>
      <c r="AP75" s="125">
        <f t="shared" si="48"/>
        <v>103800</v>
      </c>
      <c r="AQ75" s="125">
        <f t="shared" ref="AQ75:AZ80" si="49">0+((2000*(base_stat+AQ$64)) * $B75)</f>
        <v>105000</v>
      </c>
      <c r="AR75" s="125">
        <f t="shared" si="49"/>
        <v>106200</v>
      </c>
      <c r="AS75" s="125">
        <f t="shared" si="49"/>
        <v>107400</v>
      </c>
      <c r="AT75" s="125">
        <f t="shared" si="49"/>
        <v>108600</v>
      </c>
      <c r="AU75" s="125">
        <f t="shared" si="49"/>
        <v>109800</v>
      </c>
      <c r="AV75" s="125">
        <f t="shared" si="49"/>
        <v>111000</v>
      </c>
      <c r="AW75" s="125">
        <f t="shared" si="49"/>
        <v>112200</v>
      </c>
      <c r="AX75" s="125">
        <f t="shared" si="49"/>
        <v>113400</v>
      </c>
      <c r="AY75" s="125">
        <f t="shared" si="49"/>
        <v>114600</v>
      </c>
      <c r="AZ75" s="125">
        <f t="shared" si="49"/>
        <v>115800</v>
      </c>
    </row>
    <row r="76" spans="1:52" x14ac:dyDescent="0.2">
      <c r="A76" s="127">
        <v>12</v>
      </c>
      <c r="B76" s="113">
        <v>16</v>
      </c>
      <c r="C76" s="132">
        <f t="shared" si="45"/>
        <v>60800</v>
      </c>
      <c r="D76" s="132">
        <f t="shared" si="45"/>
        <v>62080</v>
      </c>
      <c r="E76" s="132">
        <f t="shared" si="45"/>
        <v>63360</v>
      </c>
      <c r="F76" s="132">
        <f t="shared" si="45"/>
        <v>64640</v>
      </c>
      <c r="G76" s="132">
        <f t="shared" si="45"/>
        <v>65920</v>
      </c>
      <c r="H76" s="132">
        <f t="shared" si="45"/>
        <v>67200</v>
      </c>
      <c r="I76" s="132">
        <f t="shared" si="45"/>
        <v>68479.999999999985</v>
      </c>
      <c r="J76" s="132">
        <f t="shared" si="45"/>
        <v>69759.999999999985</v>
      </c>
      <c r="K76" s="132">
        <f t="shared" si="45"/>
        <v>71039.999999999985</v>
      </c>
      <c r="L76" s="132">
        <f t="shared" si="45"/>
        <v>72320</v>
      </c>
      <c r="M76" s="132">
        <f t="shared" si="46"/>
        <v>73600</v>
      </c>
      <c r="N76" s="132">
        <f t="shared" si="46"/>
        <v>74880</v>
      </c>
      <c r="O76" s="132">
        <f t="shared" si="46"/>
        <v>76160</v>
      </c>
      <c r="P76" s="132">
        <f t="shared" si="46"/>
        <v>77440</v>
      </c>
      <c r="Q76" s="132">
        <f t="shared" si="46"/>
        <v>78720</v>
      </c>
      <c r="R76" s="132">
        <f t="shared" si="46"/>
        <v>80000</v>
      </c>
      <c r="S76" s="132">
        <f t="shared" si="46"/>
        <v>81280</v>
      </c>
      <c r="T76" s="111">
        <f t="shared" si="46"/>
        <v>82560</v>
      </c>
      <c r="U76" s="111">
        <f t="shared" si="46"/>
        <v>83840</v>
      </c>
      <c r="V76" s="111">
        <f t="shared" si="46"/>
        <v>85120</v>
      </c>
      <c r="W76" s="111">
        <f t="shared" si="47"/>
        <v>86400</v>
      </c>
      <c r="X76" s="111">
        <f t="shared" si="47"/>
        <v>87679.999999999985</v>
      </c>
      <c r="Y76" s="111">
        <f t="shared" si="47"/>
        <v>88960</v>
      </c>
      <c r="Z76" s="125">
        <f t="shared" si="47"/>
        <v>90240</v>
      </c>
      <c r="AA76" s="125">
        <f t="shared" si="47"/>
        <v>91520</v>
      </c>
      <c r="AB76" s="125">
        <f t="shared" si="47"/>
        <v>92800</v>
      </c>
      <c r="AC76" s="125">
        <f t="shared" si="47"/>
        <v>94080</v>
      </c>
      <c r="AD76" s="125">
        <f t="shared" si="47"/>
        <v>95360</v>
      </c>
      <c r="AE76" s="125">
        <f t="shared" si="47"/>
        <v>96640</v>
      </c>
      <c r="AF76" s="125">
        <f t="shared" si="47"/>
        <v>97919.999999999985</v>
      </c>
      <c r="AG76" s="125">
        <f t="shared" si="48"/>
        <v>99199.999999999985</v>
      </c>
      <c r="AH76" s="125">
        <f t="shared" si="48"/>
        <v>100479.99999999999</v>
      </c>
      <c r="AI76" s="125">
        <f t="shared" si="48"/>
        <v>101759.99999999999</v>
      </c>
      <c r="AJ76" s="125">
        <f t="shared" si="48"/>
        <v>103039.99999999999</v>
      </c>
      <c r="AK76" s="125">
        <f t="shared" si="48"/>
        <v>104320</v>
      </c>
      <c r="AL76" s="125">
        <f t="shared" si="48"/>
        <v>105600</v>
      </c>
      <c r="AM76" s="125">
        <f t="shared" si="48"/>
        <v>106880</v>
      </c>
      <c r="AN76" s="125">
        <f t="shared" si="48"/>
        <v>108160</v>
      </c>
      <c r="AO76" s="125">
        <f t="shared" si="48"/>
        <v>109440</v>
      </c>
      <c r="AP76" s="125">
        <f t="shared" si="48"/>
        <v>110720</v>
      </c>
      <c r="AQ76" s="125">
        <f t="shared" si="49"/>
        <v>112000</v>
      </c>
      <c r="AR76" s="125">
        <f t="shared" si="49"/>
        <v>113280</v>
      </c>
      <c r="AS76" s="125">
        <f t="shared" si="49"/>
        <v>114560</v>
      </c>
      <c r="AT76" s="125">
        <f t="shared" si="49"/>
        <v>115840</v>
      </c>
      <c r="AU76" s="125">
        <f t="shared" si="49"/>
        <v>117120</v>
      </c>
      <c r="AV76" s="125">
        <f t="shared" si="49"/>
        <v>118400</v>
      </c>
      <c r="AW76" s="125">
        <f t="shared" si="49"/>
        <v>119680</v>
      </c>
      <c r="AX76" s="125">
        <f t="shared" si="49"/>
        <v>120960</v>
      </c>
      <c r="AY76" s="125">
        <f t="shared" si="49"/>
        <v>122240</v>
      </c>
      <c r="AZ76" s="125">
        <f t="shared" si="49"/>
        <v>123520</v>
      </c>
    </row>
    <row r="77" spans="1:52" x14ac:dyDescent="0.2">
      <c r="A77" s="127">
        <v>13</v>
      </c>
      <c r="B77" s="113">
        <v>17</v>
      </c>
      <c r="C77" s="132">
        <f t="shared" si="45"/>
        <v>64600</v>
      </c>
      <c r="D77" s="132">
        <f t="shared" si="45"/>
        <v>65960</v>
      </c>
      <c r="E77" s="132">
        <f t="shared" si="45"/>
        <v>67320</v>
      </c>
      <c r="F77" s="132">
        <f t="shared" si="45"/>
        <v>68680</v>
      </c>
      <c r="G77" s="132">
        <f t="shared" si="45"/>
        <v>70040</v>
      </c>
      <c r="H77" s="132">
        <f t="shared" si="45"/>
        <v>71400</v>
      </c>
      <c r="I77" s="132">
        <f t="shared" si="45"/>
        <v>72759.999999999985</v>
      </c>
      <c r="J77" s="132">
        <f t="shared" si="45"/>
        <v>74119.999999999985</v>
      </c>
      <c r="K77" s="132">
        <f t="shared" si="45"/>
        <v>75479.999999999985</v>
      </c>
      <c r="L77" s="132">
        <f t="shared" si="45"/>
        <v>76840</v>
      </c>
      <c r="M77" s="132">
        <f t="shared" si="46"/>
        <v>78200</v>
      </c>
      <c r="N77" s="132">
        <f t="shared" si="46"/>
        <v>79560</v>
      </c>
      <c r="O77" s="132">
        <f t="shared" si="46"/>
        <v>80920</v>
      </c>
      <c r="P77" s="132">
        <f t="shared" si="46"/>
        <v>82280</v>
      </c>
      <c r="Q77" s="132">
        <f t="shared" si="46"/>
        <v>83640</v>
      </c>
      <c r="R77" s="132">
        <f t="shared" si="46"/>
        <v>85000</v>
      </c>
      <c r="S77" s="132">
        <f t="shared" si="46"/>
        <v>86360</v>
      </c>
      <c r="T77" s="132">
        <f t="shared" si="46"/>
        <v>87720</v>
      </c>
      <c r="U77" s="111">
        <f t="shared" si="46"/>
        <v>89080</v>
      </c>
      <c r="V77" s="111">
        <f t="shared" si="46"/>
        <v>90440</v>
      </c>
      <c r="W77" s="111">
        <f t="shared" si="47"/>
        <v>91800</v>
      </c>
      <c r="X77" s="111">
        <f t="shared" si="47"/>
        <v>93159.999999999985</v>
      </c>
      <c r="Y77" s="111">
        <f t="shared" si="47"/>
        <v>94520</v>
      </c>
      <c r="Z77" s="125">
        <f t="shared" si="47"/>
        <v>95880</v>
      </c>
      <c r="AA77" s="125">
        <f t="shared" si="47"/>
        <v>97240</v>
      </c>
      <c r="AB77" s="125">
        <f t="shared" si="47"/>
        <v>98600</v>
      </c>
      <c r="AC77" s="125">
        <f t="shared" si="47"/>
        <v>99960</v>
      </c>
      <c r="AD77" s="125">
        <f t="shared" si="47"/>
        <v>101320</v>
      </c>
      <c r="AE77" s="125">
        <f t="shared" si="47"/>
        <v>102680</v>
      </c>
      <c r="AF77" s="125">
        <f t="shared" si="47"/>
        <v>104039.99999999999</v>
      </c>
      <c r="AG77" s="125">
        <f t="shared" si="48"/>
        <v>105399.99999999999</v>
      </c>
      <c r="AH77" s="125">
        <f t="shared" si="48"/>
        <v>106759.99999999999</v>
      </c>
      <c r="AI77" s="125">
        <f t="shared" si="48"/>
        <v>108119.99999999999</v>
      </c>
      <c r="AJ77" s="125">
        <f t="shared" si="48"/>
        <v>109479.99999999999</v>
      </c>
      <c r="AK77" s="125">
        <f t="shared" si="48"/>
        <v>110840</v>
      </c>
      <c r="AL77" s="125">
        <f t="shared" si="48"/>
        <v>112200</v>
      </c>
      <c r="AM77" s="125">
        <f t="shared" si="48"/>
        <v>113560</v>
      </c>
      <c r="AN77" s="125">
        <f t="shared" si="48"/>
        <v>114920</v>
      </c>
      <c r="AO77" s="125">
        <f t="shared" si="48"/>
        <v>116280</v>
      </c>
      <c r="AP77" s="125">
        <f t="shared" si="48"/>
        <v>117640</v>
      </c>
      <c r="AQ77" s="125">
        <f t="shared" si="49"/>
        <v>119000</v>
      </c>
      <c r="AR77" s="125">
        <f t="shared" si="49"/>
        <v>120360</v>
      </c>
      <c r="AS77" s="125">
        <f t="shared" si="49"/>
        <v>121720</v>
      </c>
      <c r="AT77" s="125">
        <f t="shared" si="49"/>
        <v>123080</v>
      </c>
      <c r="AU77" s="125">
        <f t="shared" si="49"/>
        <v>124440</v>
      </c>
      <c r="AV77" s="125">
        <f t="shared" si="49"/>
        <v>125800</v>
      </c>
      <c r="AW77" s="125">
        <f t="shared" si="49"/>
        <v>127160</v>
      </c>
      <c r="AX77" s="125">
        <f t="shared" si="49"/>
        <v>128520</v>
      </c>
      <c r="AY77" s="125">
        <f t="shared" si="49"/>
        <v>129880</v>
      </c>
      <c r="AZ77" s="125">
        <f t="shared" si="49"/>
        <v>131240</v>
      </c>
    </row>
    <row r="78" spans="1:52" x14ac:dyDescent="0.2">
      <c r="A78" s="127">
        <v>14</v>
      </c>
      <c r="B78" s="113">
        <v>18</v>
      </c>
      <c r="C78" s="132">
        <f t="shared" si="45"/>
        <v>68400</v>
      </c>
      <c r="D78" s="132">
        <f t="shared" si="45"/>
        <v>69840</v>
      </c>
      <c r="E78" s="132">
        <f t="shared" si="45"/>
        <v>71280</v>
      </c>
      <c r="F78" s="132">
        <f t="shared" si="45"/>
        <v>72720</v>
      </c>
      <c r="G78" s="132">
        <f t="shared" si="45"/>
        <v>74160</v>
      </c>
      <c r="H78" s="132">
        <f t="shared" si="45"/>
        <v>75600</v>
      </c>
      <c r="I78" s="132">
        <f t="shared" si="45"/>
        <v>77039.999999999985</v>
      </c>
      <c r="J78" s="132">
        <f t="shared" si="45"/>
        <v>78479.999999999985</v>
      </c>
      <c r="K78" s="132">
        <f t="shared" si="45"/>
        <v>79919.999999999985</v>
      </c>
      <c r="L78" s="132">
        <f t="shared" si="45"/>
        <v>81360</v>
      </c>
      <c r="M78" s="132">
        <f t="shared" si="46"/>
        <v>82800</v>
      </c>
      <c r="N78" s="132">
        <f t="shared" si="46"/>
        <v>84240</v>
      </c>
      <c r="O78" s="132">
        <f t="shared" si="46"/>
        <v>85680</v>
      </c>
      <c r="P78" s="132">
        <f t="shared" si="46"/>
        <v>87120</v>
      </c>
      <c r="Q78" s="132">
        <f t="shared" si="46"/>
        <v>88560</v>
      </c>
      <c r="R78" s="132">
        <f t="shared" si="46"/>
        <v>90000</v>
      </c>
      <c r="S78" s="132">
        <f t="shared" si="46"/>
        <v>91440</v>
      </c>
      <c r="T78" s="132">
        <f t="shared" si="46"/>
        <v>92880</v>
      </c>
      <c r="U78" s="132">
        <f t="shared" si="46"/>
        <v>94320</v>
      </c>
      <c r="V78" s="132">
        <f t="shared" si="46"/>
        <v>95760</v>
      </c>
      <c r="W78" s="111">
        <f t="shared" si="47"/>
        <v>97200</v>
      </c>
      <c r="X78" s="111">
        <f t="shared" si="47"/>
        <v>98639.999999999985</v>
      </c>
      <c r="Y78" s="111">
        <f t="shared" si="47"/>
        <v>100080</v>
      </c>
      <c r="Z78" s="125">
        <f t="shared" si="47"/>
        <v>101520</v>
      </c>
      <c r="AA78" s="125">
        <f t="shared" si="47"/>
        <v>102960</v>
      </c>
      <c r="AB78" s="125">
        <f t="shared" si="47"/>
        <v>104400</v>
      </c>
      <c r="AC78" s="125">
        <f t="shared" si="47"/>
        <v>105840</v>
      </c>
      <c r="AD78" s="125">
        <f t="shared" si="47"/>
        <v>107280</v>
      </c>
      <c r="AE78" s="125">
        <f t="shared" si="47"/>
        <v>108720</v>
      </c>
      <c r="AF78" s="125">
        <f t="shared" si="47"/>
        <v>110159.99999999999</v>
      </c>
      <c r="AG78" s="125">
        <f t="shared" si="48"/>
        <v>111599.99999999999</v>
      </c>
      <c r="AH78" s="125">
        <f t="shared" si="48"/>
        <v>113039.99999999999</v>
      </c>
      <c r="AI78" s="125">
        <f t="shared" si="48"/>
        <v>114479.99999999999</v>
      </c>
      <c r="AJ78" s="125">
        <f t="shared" si="48"/>
        <v>115919.99999999999</v>
      </c>
      <c r="AK78" s="125">
        <f t="shared" si="48"/>
        <v>117360</v>
      </c>
      <c r="AL78" s="125">
        <f t="shared" si="48"/>
        <v>118800</v>
      </c>
      <c r="AM78" s="125">
        <f t="shared" si="48"/>
        <v>120240</v>
      </c>
      <c r="AN78" s="125">
        <f t="shared" si="48"/>
        <v>121680</v>
      </c>
      <c r="AO78" s="125">
        <f t="shared" si="48"/>
        <v>123120</v>
      </c>
      <c r="AP78" s="125">
        <f t="shared" si="48"/>
        <v>124560</v>
      </c>
      <c r="AQ78" s="125">
        <f t="shared" si="49"/>
        <v>126000</v>
      </c>
      <c r="AR78" s="125">
        <f t="shared" si="49"/>
        <v>127440</v>
      </c>
      <c r="AS78" s="125">
        <f t="shared" si="49"/>
        <v>128880</v>
      </c>
      <c r="AT78" s="125">
        <f t="shared" si="49"/>
        <v>130320</v>
      </c>
      <c r="AU78" s="125">
        <f t="shared" si="49"/>
        <v>131760</v>
      </c>
      <c r="AV78" s="125">
        <f t="shared" si="49"/>
        <v>133200</v>
      </c>
      <c r="AW78" s="125">
        <f t="shared" si="49"/>
        <v>134640</v>
      </c>
      <c r="AX78" s="125">
        <f t="shared" si="49"/>
        <v>136080</v>
      </c>
      <c r="AY78" s="125">
        <f t="shared" si="49"/>
        <v>137520</v>
      </c>
      <c r="AZ78" s="125">
        <f t="shared" si="49"/>
        <v>138960</v>
      </c>
    </row>
    <row r="79" spans="1:52" x14ac:dyDescent="0.2">
      <c r="A79" s="127">
        <v>15</v>
      </c>
      <c r="B79" s="113">
        <v>19</v>
      </c>
      <c r="C79" s="132">
        <f t="shared" si="45"/>
        <v>72200</v>
      </c>
      <c r="D79" s="132">
        <f t="shared" si="45"/>
        <v>73720</v>
      </c>
      <c r="E79" s="132">
        <f t="shared" si="45"/>
        <v>75240</v>
      </c>
      <c r="F79" s="132">
        <f t="shared" si="45"/>
        <v>76760</v>
      </c>
      <c r="G79" s="132">
        <f t="shared" si="45"/>
        <v>78280</v>
      </c>
      <c r="H79" s="132">
        <f t="shared" si="45"/>
        <v>79800</v>
      </c>
      <c r="I79" s="132">
        <f t="shared" si="45"/>
        <v>81319.999999999985</v>
      </c>
      <c r="J79" s="132">
        <f t="shared" si="45"/>
        <v>82839.999999999985</v>
      </c>
      <c r="K79" s="132">
        <f t="shared" si="45"/>
        <v>84359.999999999985</v>
      </c>
      <c r="L79" s="132">
        <f t="shared" si="45"/>
        <v>85880</v>
      </c>
      <c r="M79" s="132">
        <f t="shared" si="46"/>
        <v>87400</v>
      </c>
      <c r="N79" s="132">
        <f t="shared" si="46"/>
        <v>88920</v>
      </c>
      <c r="O79" s="132">
        <f t="shared" si="46"/>
        <v>90440</v>
      </c>
      <c r="P79" s="132">
        <f t="shared" si="46"/>
        <v>91960</v>
      </c>
      <c r="Q79" s="132">
        <f t="shared" si="46"/>
        <v>93480</v>
      </c>
      <c r="R79" s="132">
        <f t="shared" si="46"/>
        <v>95000</v>
      </c>
      <c r="S79" s="132">
        <f t="shared" si="46"/>
        <v>96520</v>
      </c>
      <c r="T79" s="132">
        <f t="shared" si="46"/>
        <v>98040</v>
      </c>
      <c r="U79" s="132">
        <f t="shared" si="46"/>
        <v>99560</v>
      </c>
      <c r="V79" s="132">
        <f t="shared" si="46"/>
        <v>101080</v>
      </c>
      <c r="W79" s="132">
        <f t="shared" si="47"/>
        <v>102600</v>
      </c>
      <c r="X79" s="111">
        <f t="shared" si="47"/>
        <v>104119.99999999999</v>
      </c>
      <c r="Y79" s="111">
        <f t="shared" si="47"/>
        <v>105640</v>
      </c>
      <c r="Z79" s="125">
        <f t="shared" si="47"/>
        <v>107160</v>
      </c>
      <c r="AA79" s="125">
        <f t="shared" si="47"/>
        <v>108680</v>
      </c>
      <c r="AB79" s="125">
        <f t="shared" si="47"/>
        <v>110200</v>
      </c>
      <c r="AC79" s="125">
        <f t="shared" si="47"/>
        <v>111720</v>
      </c>
      <c r="AD79" s="125">
        <f t="shared" si="47"/>
        <v>113240</v>
      </c>
      <c r="AE79" s="125">
        <f t="shared" si="47"/>
        <v>114760</v>
      </c>
      <c r="AF79" s="125">
        <f t="shared" si="47"/>
        <v>116279.99999999999</v>
      </c>
      <c r="AG79" s="125">
        <f t="shared" si="48"/>
        <v>117799.99999999999</v>
      </c>
      <c r="AH79" s="125">
        <f t="shared" si="48"/>
        <v>119319.99999999999</v>
      </c>
      <c r="AI79" s="125">
        <f t="shared" si="48"/>
        <v>120839.99999999999</v>
      </c>
      <c r="AJ79" s="125">
        <f t="shared" si="48"/>
        <v>122359.99999999999</v>
      </c>
      <c r="AK79" s="125">
        <f t="shared" si="48"/>
        <v>123880</v>
      </c>
      <c r="AL79" s="125">
        <f t="shared" si="48"/>
        <v>125400</v>
      </c>
      <c r="AM79" s="125">
        <f t="shared" si="48"/>
        <v>126920</v>
      </c>
      <c r="AN79" s="125">
        <f t="shared" si="48"/>
        <v>128440</v>
      </c>
      <c r="AO79" s="125">
        <f t="shared" si="48"/>
        <v>129960</v>
      </c>
      <c r="AP79" s="125">
        <f t="shared" si="48"/>
        <v>131480</v>
      </c>
      <c r="AQ79" s="125">
        <f t="shared" si="49"/>
        <v>133000</v>
      </c>
      <c r="AR79" s="125">
        <f t="shared" si="49"/>
        <v>134520</v>
      </c>
      <c r="AS79" s="125">
        <f t="shared" si="49"/>
        <v>136040</v>
      </c>
      <c r="AT79" s="125">
        <f t="shared" si="49"/>
        <v>137560</v>
      </c>
      <c r="AU79" s="125">
        <f t="shared" si="49"/>
        <v>139080</v>
      </c>
      <c r="AV79" s="125">
        <f t="shared" si="49"/>
        <v>140600</v>
      </c>
      <c r="AW79" s="125">
        <f t="shared" si="49"/>
        <v>142120</v>
      </c>
      <c r="AX79" s="125">
        <f t="shared" si="49"/>
        <v>143640</v>
      </c>
      <c r="AY79" s="125">
        <f t="shared" si="49"/>
        <v>145160</v>
      </c>
      <c r="AZ79" s="125">
        <f t="shared" si="49"/>
        <v>146680</v>
      </c>
    </row>
    <row r="80" spans="1:52" x14ac:dyDescent="0.2">
      <c r="A80" s="127">
        <v>16</v>
      </c>
      <c r="B80" s="116">
        <v>20</v>
      </c>
      <c r="C80" s="133">
        <f t="shared" si="45"/>
        <v>76000</v>
      </c>
      <c r="D80" s="133">
        <f t="shared" si="45"/>
        <v>77600</v>
      </c>
      <c r="E80" s="133">
        <f t="shared" si="45"/>
        <v>79200</v>
      </c>
      <c r="F80" s="133">
        <f t="shared" si="45"/>
        <v>80800</v>
      </c>
      <c r="G80" s="133">
        <f t="shared" si="45"/>
        <v>82400</v>
      </c>
      <c r="H80" s="133">
        <f t="shared" si="45"/>
        <v>84000</v>
      </c>
      <c r="I80" s="133">
        <f t="shared" si="45"/>
        <v>85599.999999999985</v>
      </c>
      <c r="J80" s="133">
        <f t="shared" si="45"/>
        <v>87199.999999999985</v>
      </c>
      <c r="K80" s="133">
        <f t="shared" si="45"/>
        <v>88799.999999999985</v>
      </c>
      <c r="L80" s="133">
        <f t="shared" si="45"/>
        <v>90400</v>
      </c>
      <c r="M80" s="133">
        <f t="shared" si="46"/>
        <v>92000</v>
      </c>
      <c r="N80" s="133">
        <f t="shared" si="46"/>
        <v>93600</v>
      </c>
      <c r="O80" s="133">
        <f t="shared" si="46"/>
        <v>95200</v>
      </c>
      <c r="P80" s="133">
        <f t="shared" si="46"/>
        <v>96800</v>
      </c>
      <c r="Q80" s="133">
        <f t="shared" si="46"/>
        <v>98400</v>
      </c>
      <c r="R80" s="133">
        <f t="shared" si="46"/>
        <v>100000</v>
      </c>
      <c r="S80" s="133">
        <f t="shared" si="46"/>
        <v>101600</v>
      </c>
      <c r="T80" s="133">
        <f t="shared" si="46"/>
        <v>103200</v>
      </c>
      <c r="U80" s="133">
        <f t="shared" si="46"/>
        <v>104800</v>
      </c>
      <c r="V80" s="133">
        <f t="shared" si="46"/>
        <v>106400</v>
      </c>
      <c r="W80" s="133">
        <f t="shared" si="47"/>
        <v>108000</v>
      </c>
      <c r="X80" s="133">
        <f t="shared" si="47"/>
        <v>109599.99999999999</v>
      </c>
      <c r="Y80" s="133">
        <f t="shared" si="47"/>
        <v>111200</v>
      </c>
      <c r="Z80" s="125">
        <f t="shared" si="47"/>
        <v>112800</v>
      </c>
      <c r="AA80" s="125">
        <f t="shared" si="47"/>
        <v>114400</v>
      </c>
      <c r="AB80" s="125">
        <f t="shared" si="47"/>
        <v>116000</v>
      </c>
      <c r="AC80" s="125">
        <f t="shared" si="47"/>
        <v>117600</v>
      </c>
      <c r="AD80" s="125">
        <f t="shared" si="47"/>
        <v>119200</v>
      </c>
      <c r="AE80" s="125">
        <f t="shared" si="47"/>
        <v>120800</v>
      </c>
      <c r="AF80" s="125">
        <f t="shared" si="47"/>
        <v>122399.99999999999</v>
      </c>
      <c r="AG80" s="125">
        <f t="shared" si="48"/>
        <v>123999.99999999999</v>
      </c>
      <c r="AH80" s="125">
        <f t="shared" si="48"/>
        <v>125599.99999999999</v>
      </c>
      <c r="AI80" s="125">
        <f t="shared" si="48"/>
        <v>127199.99999999999</v>
      </c>
      <c r="AJ80" s="125">
        <f t="shared" si="48"/>
        <v>128799.99999999999</v>
      </c>
      <c r="AK80" s="125">
        <f t="shared" si="48"/>
        <v>130400</v>
      </c>
      <c r="AL80" s="125">
        <f t="shared" si="48"/>
        <v>132000</v>
      </c>
      <c r="AM80" s="125">
        <f t="shared" si="48"/>
        <v>133600</v>
      </c>
      <c r="AN80" s="125">
        <f t="shared" si="48"/>
        <v>135200</v>
      </c>
      <c r="AO80" s="125">
        <f t="shared" si="48"/>
        <v>136800</v>
      </c>
      <c r="AP80" s="125">
        <f t="shared" si="48"/>
        <v>138400</v>
      </c>
      <c r="AQ80" s="125">
        <f t="shared" si="49"/>
        <v>140000</v>
      </c>
      <c r="AR80" s="125">
        <f t="shared" si="49"/>
        <v>141600</v>
      </c>
      <c r="AS80" s="125">
        <f t="shared" si="49"/>
        <v>143200</v>
      </c>
      <c r="AT80" s="125">
        <f t="shared" si="49"/>
        <v>144800</v>
      </c>
      <c r="AU80" s="125">
        <f t="shared" si="49"/>
        <v>146400</v>
      </c>
      <c r="AV80" s="125">
        <f t="shared" si="49"/>
        <v>148000</v>
      </c>
      <c r="AW80" s="125">
        <f t="shared" si="49"/>
        <v>149600</v>
      </c>
      <c r="AX80" s="125">
        <f t="shared" si="49"/>
        <v>151200</v>
      </c>
      <c r="AY80" s="125">
        <f t="shared" si="49"/>
        <v>152800</v>
      </c>
      <c r="AZ80" s="125">
        <f t="shared" si="49"/>
        <v>154400</v>
      </c>
    </row>
    <row r="81" spans="1:52" x14ac:dyDescent="0.2"/>
    <row r="82" spans="1:52" x14ac:dyDescent="0.2">
      <c r="A82" s="101" t="s">
        <v>234</v>
      </c>
      <c r="C82" s="101">
        <v>800</v>
      </c>
      <c r="D82" s="101">
        <v>960</v>
      </c>
      <c r="E82" s="101">
        <v>1120</v>
      </c>
      <c r="F82" s="101">
        <v>1280</v>
      </c>
      <c r="G82" s="101">
        <v>1440</v>
      </c>
      <c r="H82" s="101">
        <v>1600</v>
      </c>
      <c r="I82" s="101">
        <v>1760</v>
      </c>
      <c r="J82" s="101">
        <v>1920</v>
      </c>
      <c r="K82" s="101">
        <v>2080</v>
      </c>
      <c r="L82" s="101">
        <v>2240</v>
      </c>
      <c r="M82" s="101">
        <v>2400</v>
      </c>
      <c r="N82" s="101">
        <v>2560</v>
      </c>
      <c r="O82" s="101">
        <v>2720</v>
      </c>
      <c r="P82" s="101">
        <v>2880</v>
      </c>
      <c r="Q82" s="101">
        <v>3040</v>
      </c>
      <c r="R82" s="101">
        <v>3200</v>
      </c>
    </row>
    <row r="83" spans="1:52" x14ac:dyDescent="0.2">
      <c r="B83" s="101" t="s">
        <v>233</v>
      </c>
    </row>
    <row r="84" spans="1:52" x14ac:dyDescent="0.2">
      <c r="A84" s="1"/>
      <c r="B84" s="107" t="s">
        <v>175</v>
      </c>
      <c r="C84" s="108" t="s">
        <v>232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9"/>
    </row>
    <row r="85" spans="1:52" x14ac:dyDescent="0.2">
      <c r="A85" s="101" t="s">
        <v>235</v>
      </c>
      <c r="B85" s="101" t="s">
        <v>223</v>
      </c>
      <c r="C85" s="112">
        <v>1</v>
      </c>
      <c r="D85" s="112">
        <v>2</v>
      </c>
      <c r="E85" s="112">
        <v>3</v>
      </c>
      <c r="F85" s="112">
        <v>4</v>
      </c>
      <c r="G85" s="112">
        <v>5</v>
      </c>
      <c r="H85" s="112">
        <v>6</v>
      </c>
      <c r="I85" s="112">
        <v>7</v>
      </c>
      <c r="J85" s="112">
        <v>8</v>
      </c>
      <c r="K85" s="112">
        <v>9</v>
      </c>
      <c r="L85" s="112">
        <v>10</v>
      </c>
      <c r="M85" s="112">
        <v>11</v>
      </c>
      <c r="N85" s="112">
        <v>12</v>
      </c>
      <c r="O85" s="112">
        <v>13</v>
      </c>
      <c r="P85" s="112">
        <v>14</v>
      </c>
      <c r="Q85" s="112">
        <v>15</v>
      </c>
      <c r="R85" s="112">
        <v>16</v>
      </c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112"/>
      <c r="AT85" s="112"/>
      <c r="AU85" s="112"/>
      <c r="AV85" s="112"/>
      <c r="AW85" s="112"/>
      <c r="AX85" s="112"/>
      <c r="AY85" s="112"/>
      <c r="AZ85" s="112"/>
    </row>
    <row r="86" spans="1:52" x14ac:dyDescent="0.2">
      <c r="A86" s="139">
        <v>0.1</v>
      </c>
      <c r="B86" s="128">
        <v>1</v>
      </c>
      <c r="C86" s="123">
        <f>C$82*$A86</f>
        <v>80</v>
      </c>
      <c r="D86" s="123">
        <f t="shared" ref="D86:R86" si="50">D$82*$A86</f>
        <v>96</v>
      </c>
      <c r="E86" s="123">
        <f t="shared" si="50"/>
        <v>112</v>
      </c>
      <c r="F86" s="123">
        <f t="shared" si="50"/>
        <v>128</v>
      </c>
      <c r="G86" s="123">
        <f t="shared" si="50"/>
        <v>144</v>
      </c>
      <c r="H86" s="123">
        <f t="shared" si="50"/>
        <v>160</v>
      </c>
      <c r="I86" s="123">
        <f t="shared" si="50"/>
        <v>176</v>
      </c>
      <c r="J86" s="123">
        <f t="shared" si="50"/>
        <v>192</v>
      </c>
      <c r="K86" s="123">
        <f t="shared" si="50"/>
        <v>208</v>
      </c>
      <c r="L86" s="123">
        <f t="shared" si="50"/>
        <v>224</v>
      </c>
      <c r="M86" s="123">
        <f t="shared" si="50"/>
        <v>240</v>
      </c>
      <c r="N86" s="123">
        <f t="shared" si="50"/>
        <v>256</v>
      </c>
      <c r="O86" s="123">
        <f t="shared" si="50"/>
        <v>272</v>
      </c>
      <c r="P86" s="123">
        <f t="shared" si="50"/>
        <v>288</v>
      </c>
      <c r="Q86" s="123">
        <f t="shared" si="50"/>
        <v>304</v>
      </c>
      <c r="R86" s="123">
        <f t="shared" si="50"/>
        <v>320</v>
      </c>
      <c r="T86" s="139"/>
    </row>
    <row r="87" spans="1:52" x14ac:dyDescent="0.2">
      <c r="A87" s="139">
        <v>0.12222222222222223</v>
      </c>
      <c r="B87" s="128">
        <v>2</v>
      </c>
      <c r="C87" s="123">
        <f t="shared" ref="C87:R95" si="51">C$82*$A87</f>
        <v>97.777777777777786</v>
      </c>
      <c r="D87" s="123">
        <f t="shared" si="51"/>
        <v>117.33333333333334</v>
      </c>
      <c r="E87" s="123">
        <f t="shared" si="51"/>
        <v>136.88888888888891</v>
      </c>
      <c r="F87" s="123">
        <f t="shared" si="51"/>
        <v>156.44444444444446</v>
      </c>
      <c r="G87" s="123">
        <f t="shared" si="51"/>
        <v>176</v>
      </c>
      <c r="H87" s="123">
        <f t="shared" si="51"/>
        <v>195.55555555555557</v>
      </c>
      <c r="I87" s="123">
        <f t="shared" si="51"/>
        <v>215.11111111111114</v>
      </c>
      <c r="J87" s="123">
        <f t="shared" si="51"/>
        <v>234.66666666666669</v>
      </c>
      <c r="K87" s="123">
        <f t="shared" si="51"/>
        <v>254.22222222222223</v>
      </c>
      <c r="L87" s="123">
        <f t="shared" si="51"/>
        <v>273.77777777777783</v>
      </c>
      <c r="M87" s="123">
        <f t="shared" si="51"/>
        <v>293.33333333333337</v>
      </c>
      <c r="N87" s="123">
        <f t="shared" si="51"/>
        <v>312.88888888888891</v>
      </c>
      <c r="O87" s="123">
        <f t="shared" si="51"/>
        <v>332.44444444444446</v>
      </c>
      <c r="P87" s="123">
        <f t="shared" si="51"/>
        <v>352</v>
      </c>
      <c r="Q87" s="123">
        <f t="shared" si="51"/>
        <v>371.5555555555556</v>
      </c>
      <c r="R87" s="123">
        <f t="shared" si="51"/>
        <v>391.11111111111114</v>
      </c>
      <c r="S87" s="140"/>
      <c r="T87" s="139"/>
      <c r="U87" s="140"/>
      <c r="V87" s="140"/>
    </row>
    <row r="88" spans="1:52" x14ac:dyDescent="0.2">
      <c r="A88" s="139">
        <v>0.14444444444444443</v>
      </c>
      <c r="B88" s="128">
        <v>3</v>
      </c>
      <c r="C88" s="123">
        <f t="shared" si="51"/>
        <v>115.55555555555554</v>
      </c>
      <c r="D88" s="123">
        <f t="shared" si="51"/>
        <v>138.66666666666666</v>
      </c>
      <c r="E88" s="123">
        <f t="shared" si="51"/>
        <v>161.77777777777777</v>
      </c>
      <c r="F88" s="123">
        <f t="shared" si="51"/>
        <v>184.88888888888886</v>
      </c>
      <c r="G88" s="123">
        <f t="shared" si="51"/>
        <v>207.99999999999997</v>
      </c>
      <c r="H88" s="123">
        <f t="shared" si="51"/>
        <v>231.11111111111109</v>
      </c>
      <c r="I88" s="123">
        <f t="shared" si="51"/>
        <v>254.2222222222222</v>
      </c>
      <c r="J88" s="123">
        <f t="shared" si="51"/>
        <v>277.33333333333331</v>
      </c>
      <c r="K88" s="123">
        <f t="shared" si="51"/>
        <v>300.4444444444444</v>
      </c>
      <c r="L88" s="123">
        <f t="shared" si="51"/>
        <v>323.55555555555554</v>
      </c>
      <c r="M88" s="123">
        <f t="shared" si="51"/>
        <v>346.66666666666663</v>
      </c>
      <c r="N88" s="123">
        <f t="shared" si="51"/>
        <v>369.77777777777771</v>
      </c>
      <c r="O88" s="123">
        <f t="shared" si="51"/>
        <v>392.88888888888886</v>
      </c>
      <c r="P88" s="123">
        <f t="shared" si="51"/>
        <v>415.99999999999994</v>
      </c>
      <c r="Q88" s="123">
        <f t="shared" si="51"/>
        <v>439.11111111111109</v>
      </c>
      <c r="R88" s="123">
        <f t="shared" si="51"/>
        <v>462.22222222222217</v>
      </c>
      <c r="S88" s="140"/>
      <c r="T88" s="139"/>
      <c r="U88" s="140"/>
      <c r="V88" s="140"/>
    </row>
    <row r="89" spans="1:52" x14ac:dyDescent="0.2">
      <c r="A89" s="139">
        <v>0.16666666666666669</v>
      </c>
      <c r="B89" s="128">
        <v>4</v>
      </c>
      <c r="C89" s="123">
        <f t="shared" si="51"/>
        <v>133.33333333333334</v>
      </c>
      <c r="D89" s="123">
        <f t="shared" si="51"/>
        <v>160.00000000000003</v>
      </c>
      <c r="E89" s="123">
        <f t="shared" si="51"/>
        <v>186.66666666666669</v>
      </c>
      <c r="F89" s="123">
        <f t="shared" si="51"/>
        <v>213.33333333333337</v>
      </c>
      <c r="G89" s="123">
        <f t="shared" si="51"/>
        <v>240.00000000000003</v>
      </c>
      <c r="H89" s="123">
        <f t="shared" si="51"/>
        <v>266.66666666666669</v>
      </c>
      <c r="I89" s="123">
        <f t="shared" si="51"/>
        <v>293.33333333333337</v>
      </c>
      <c r="J89" s="123">
        <f t="shared" si="51"/>
        <v>320.00000000000006</v>
      </c>
      <c r="K89" s="123">
        <f t="shared" si="51"/>
        <v>346.66666666666669</v>
      </c>
      <c r="L89" s="123">
        <f t="shared" si="51"/>
        <v>373.33333333333337</v>
      </c>
      <c r="M89" s="123">
        <f t="shared" si="51"/>
        <v>400.00000000000006</v>
      </c>
      <c r="N89" s="123">
        <f t="shared" si="51"/>
        <v>426.66666666666674</v>
      </c>
      <c r="O89" s="123">
        <f t="shared" si="51"/>
        <v>453.33333333333337</v>
      </c>
      <c r="P89" s="123">
        <f t="shared" si="51"/>
        <v>480.00000000000006</v>
      </c>
      <c r="Q89" s="123">
        <f t="shared" si="51"/>
        <v>506.66666666666674</v>
      </c>
      <c r="R89" s="123">
        <f t="shared" si="51"/>
        <v>533.33333333333337</v>
      </c>
      <c r="S89" s="140"/>
      <c r="T89" s="139"/>
      <c r="U89" s="140"/>
      <c r="V89" s="140"/>
    </row>
    <row r="90" spans="1:52" x14ac:dyDescent="0.2">
      <c r="A90" s="139">
        <v>0.18888888888888888</v>
      </c>
      <c r="B90" s="128">
        <v>5</v>
      </c>
      <c r="C90" s="123">
        <f t="shared" si="51"/>
        <v>151.11111111111111</v>
      </c>
      <c r="D90" s="123">
        <f t="shared" si="51"/>
        <v>181.33333333333331</v>
      </c>
      <c r="E90" s="123">
        <f t="shared" si="51"/>
        <v>211.55555555555554</v>
      </c>
      <c r="F90" s="123">
        <f t="shared" si="51"/>
        <v>241.77777777777777</v>
      </c>
      <c r="G90" s="123">
        <f t="shared" si="51"/>
        <v>272</v>
      </c>
      <c r="H90" s="123">
        <f t="shared" si="51"/>
        <v>302.22222222222223</v>
      </c>
      <c r="I90" s="123">
        <f t="shared" si="51"/>
        <v>332.44444444444446</v>
      </c>
      <c r="J90" s="123">
        <f t="shared" si="51"/>
        <v>362.66666666666663</v>
      </c>
      <c r="K90" s="123">
        <f t="shared" si="51"/>
        <v>392.88888888888886</v>
      </c>
      <c r="L90" s="123">
        <f t="shared" si="51"/>
        <v>423.11111111111109</v>
      </c>
      <c r="M90" s="123">
        <f t="shared" si="51"/>
        <v>453.33333333333331</v>
      </c>
      <c r="N90" s="123">
        <f t="shared" si="51"/>
        <v>483.55555555555554</v>
      </c>
      <c r="O90" s="123">
        <f t="shared" si="51"/>
        <v>513.77777777777771</v>
      </c>
      <c r="P90" s="123">
        <f t="shared" si="51"/>
        <v>544</v>
      </c>
      <c r="Q90" s="123">
        <f t="shared" si="51"/>
        <v>574.22222222222217</v>
      </c>
      <c r="R90" s="123">
        <f t="shared" si="51"/>
        <v>604.44444444444446</v>
      </c>
      <c r="S90" s="140"/>
      <c r="T90" s="139"/>
      <c r="U90" s="140"/>
      <c r="V90" s="140"/>
    </row>
    <row r="91" spans="1:52" x14ac:dyDescent="0.2">
      <c r="A91" s="139">
        <v>0.21111111111111111</v>
      </c>
      <c r="B91" s="128">
        <v>6</v>
      </c>
      <c r="C91" s="123">
        <f t="shared" si="51"/>
        <v>168.88888888888889</v>
      </c>
      <c r="D91" s="123">
        <f t="shared" si="51"/>
        <v>202.66666666666666</v>
      </c>
      <c r="E91" s="123">
        <f t="shared" si="51"/>
        <v>236.44444444444446</v>
      </c>
      <c r="F91" s="123">
        <f t="shared" si="51"/>
        <v>270.22222222222223</v>
      </c>
      <c r="G91" s="123">
        <f t="shared" si="51"/>
        <v>304</v>
      </c>
      <c r="H91" s="123">
        <f t="shared" si="51"/>
        <v>337.77777777777777</v>
      </c>
      <c r="I91" s="123">
        <f t="shared" si="51"/>
        <v>371.55555555555554</v>
      </c>
      <c r="J91" s="123">
        <f t="shared" si="51"/>
        <v>405.33333333333331</v>
      </c>
      <c r="K91" s="123">
        <f t="shared" si="51"/>
        <v>439.11111111111109</v>
      </c>
      <c r="L91" s="123">
        <f t="shared" si="51"/>
        <v>472.88888888888891</v>
      </c>
      <c r="M91" s="123">
        <f t="shared" si="51"/>
        <v>506.66666666666669</v>
      </c>
      <c r="N91" s="123">
        <f t="shared" si="51"/>
        <v>540.44444444444446</v>
      </c>
      <c r="O91" s="123">
        <f t="shared" si="51"/>
        <v>574.22222222222217</v>
      </c>
      <c r="P91" s="123">
        <f t="shared" si="51"/>
        <v>608</v>
      </c>
      <c r="Q91" s="123">
        <f t="shared" si="51"/>
        <v>641.77777777777783</v>
      </c>
      <c r="R91" s="123">
        <f t="shared" si="51"/>
        <v>675.55555555555554</v>
      </c>
      <c r="S91" s="140"/>
      <c r="T91" s="139"/>
      <c r="U91" s="140"/>
      <c r="V91" s="140"/>
    </row>
    <row r="92" spans="1:52" x14ac:dyDescent="0.2">
      <c r="A92" s="139">
        <v>0.23333333333333334</v>
      </c>
      <c r="B92" s="128">
        <v>7</v>
      </c>
      <c r="C92" s="123">
        <f t="shared" si="51"/>
        <v>186.66666666666666</v>
      </c>
      <c r="D92" s="123">
        <f t="shared" si="51"/>
        <v>224</v>
      </c>
      <c r="E92" s="123">
        <f t="shared" si="51"/>
        <v>261.33333333333331</v>
      </c>
      <c r="F92" s="123">
        <f t="shared" si="51"/>
        <v>298.66666666666669</v>
      </c>
      <c r="G92" s="123">
        <f t="shared" si="51"/>
        <v>336</v>
      </c>
      <c r="H92" s="123">
        <f t="shared" si="51"/>
        <v>373.33333333333331</v>
      </c>
      <c r="I92" s="123">
        <f t="shared" si="51"/>
        <v>410.66666666666669</v>
      </c>
      <c r="J92" s="123">
        <f t="shared" si="51"/>
        <v>448</v>
      </c>
      <c r="K92" s="123">
        <f t="shared" si="51"/>
        <v>485.33333333333331</v>
      </c>
      <c r="L92" s="123">
        <f t="shared" si="51"/>
        <v>522.66666666666663</v>
      </c>
      <c r="M92" s="123">
        <f t="shared" si="51"/>
        <v>560</v>
      </c>
      <c r="N92" s="123">
        <f t="shared" si="51"/>
        <v>597.33333333333337</v>
      </c>
      <c r="O92" s="123">
        <f t="shared" si="51"/>
        <v>634.66666666666663</v>
      </c>
      <c r="P92" s="123">
        <f t="shared" si="51"/>
        <v>672</v>
      </c>
      <c r="Q92" s="123">
        <f t="shared" si="51"/>
        <v>709.33333333333337</v>
      </c>
      <c r="R92" s="123">
        <f t="shared" si="51"/>
        <v>746.66666666666663</v>
      </c>
      <c r="S92" s="140"/>
      <c r="T92" s="139"/>
      <c r="U92" s="140"/>
      <c r="V92" s="140"/>
    </row>
    <row r="93" spans="1:52" x14ac:dyDescent="0.2">
      <c r="A93" s="139">
        <v>0.25555555555555554</v>
      </c>
      <c r="B93" s="128">
        <v>8</v>
      </c>
      <c r="C93" s="123">
        <f t="shared" si="51"/>
        <v>204.44444444444443</v>
      </c>
      <c r="D93" s="123">
        <f t="shared" si="51"/>
        <v>245.33333333333331</v>
      </c>
      <c r="E93" s="123">
        <f t="shared" si="51"/>
        <v>286.22222222222217</v>
      </c>
      <c r="F93" s="123">
        <f t="shared" si="51"/>
        <v>327.11111111111109</v>
      </c>
      <c r="G93" s="123">
        <f t="shared" si="51"/>
        <v>368</v>
      </c>
      <c r="H93" s="123">
        <f t="shared" si="51"/>
        <v>408.88888888888886</v>
      </c>
      <c r="I93" s="123">
        <f t="shared" si="51"/>
        <v>449.77777777777771</v>
      </c>
      <c r="J93" s="123">
        <f t="shared" si="51"/>
        <v>490.66666666666663</v>
      </c>
      <c r="K93" s="123">
        <f t="shared" si="51"/>
        <v>531.55555555555554</v>
      </c>
      <c r="L93" s="123">
        <f t="shared" si="51"/>
        <v>572.44444444444434</v>
      </c>
      <c r="M93" s="123">
        <f t="shared" si="51"/>
        <v>613.33333333333326</v>
      </c>
      <c r="N93" s="123">
        <f t="shared" si="51"/>
        <v>654.22222222222217</v>
      </c>
      <c r="O93" s="123">
        <f t="shared" si="51"/>
        <v>695.11111111111109</v>
      </c>
      <c r="P93" s="123">
        <f t="shared" si="51"/>
        <v>736</v>
      </c>
      <c r="Q93" s="123">
        <f t="shared" si="51"/>
        <v>776.8888888888888</v>
      </c>
      <c r="R93" s="123">
        <f t="shared" si="51"/>
        <v>817.77777777777771</v>
      </c>
      <c r="S93" s="140"/>
      <c r="T93" s="139"/>
      <c r="U93" s="140"/>
      <c r="V93" s="140"/>
    </row>
    <row r="94" spans="1:52" x14ac:dyDescent="0.2">
      <c r="A94" s="139">
        <v>0.27777777777777779</v>
      </c>
      <c r="B94" s="128">
        <v>9</v>
      </c>
      <c r="C94" s="123">
        <f t="shared" si="51"/>
        <v>222.22222222222223</v>
      </c>
      <c r="D94" s="123">
        <f t="shared" si="51"/>
        <v>266.66666666666669</v>
      </c>
      <c r="E94" s="123">
        <f t="shared" si="51"/>
        <v>311.11111111111114</v>
      </c>
      <c r="F94" s="123">
        <f t="shared" si="51"/>
        <v>355.55555555555554</v>
      </c>
      <c r="G94" s="123">
        <f t="shared" si="51"/>
        <v>400</v>
      </c>
      <c r="H94" s="123">
        <f t="shared" si="51"/>
        <v>444.44444444444446</v>
      </c>
      <c r="I94" s="123">
        <f t="shared" si="51"/>
        <v>488.88888888888891</v>
      </c>
      <c r="J94" s="123">
        <f t="shared" si="51"/>
        <v>533.33333333333337</v>
      </c>
      <c r="K94" s="123">
        <f t="shared" si="51"/>
        <v>577.77777777777783</v>
      </c>
      <c r="L94" s="123">
        <f t="shared" si="51"/>
        <v>622.22222222222229</v>
      </c>
      <c r="M94" s="123">
        <f t="shared" si="51"/>
        <v>666.66666666666674</v>
      </c>
      <c r="N94" s="123">
        <f t="shared" si="51"/>
        <v>711.11111111111109</v>
      </c>
      <c r="O94" s="123">
        <f t="shared" si="51"/>
        <v>755.55555555555554</v>
      </c>
      <c r="P94" s="123">
        <f t="shared" si="51"/>
        <v>800</v>
      </c>
      <c r="Q94" s="123">
        <f t="shared" si="51"/>
        <v>844.44444444444446</v>
      </c>
      <c r="R94" s="123">
        <f t="shared" si="51"/>
        <v>888.88888888888891</v>
      </c>
      <c r="S94" s="140"/>
      <c r="T94" s="139"/>
      <c r="U94" s="140"/>
      <c r="V94" s="140"/>
    </row>
    <row r="95" spans="1:52" x14ac:dyDescent="0.2">
      <c r="A95" s="139">
        <v>0.30000000000000004</v>
      </c>
      <c r="B95" s="128">
        <v>10</v>
      </c>
      <c r="C95" s="123">
        <f t="shared" si="51"/>
        <v>240.00000000000003</v>
      </c>
      <c r="D95" s="123">
        <f t="shared" si="51"/>
        <v>288.00000000000006</v>
      </c>
      <c r="E95" s="123">
        <f t="shared" si="51"/>
        <v>336.00000000000006</v>
      </c>
      <c r="F95" s="123">
        <f t="shared" si="51"/>
        <v>384.00000000000006</v>
      </c>
      <c r="G95" s="123">
        <f t="shared" si="51"/>
        <v>432.00000000000006</v>
      </c>
      <c r="H95" s="123">
        <f t="shared" si="51"/>
        <v>480.00000000000006</v>
      </c>
      <c r="I95" s="123">
        <f t="shared" si="51"/>
        <v>528.00000000000011</v>
      </c>
      <c r="J95" s="123">
        <f t="shared" si="51"/>
        <v>576.00000000000011</v>
      </c>
      <c r="K95" s="123">
        <f t="shared" si="51"/>
        <v>624.00000000000011</v>
      </c>
      <c r="L95" s="123">
        <f t="shared" si="51"/>
        <v>672.00000000000011</v>
      </c>
      <c r="M95" s="123">
        <f t="shared" si="51"/>
        <v>720.00000000000011</v>
      </c>
      <c r="N95" s="123">
        <f t="shared" si="51"/>
        <v>768.00000000000011</v>
      </c>
      <c r="O95" s="123">
        <f t="shared" si="51"/>
        <v>816.00000000000011</v>
      </c>
      <c r="P95" s="123">
        <f t="shared" si="51"/>
        <v>864.00000000000011</v>
      </c>
      <c r="Q95" s="123">
        <f t="shared" si="51"/>
        <v>912.00000000000011</v>
      </c>
      <c r="R95" s="123">
        <f t="shared" si="51"/>
        <v>960.00000000000011</v>
      </c>
      <c r="S95" s="140"/>
      <c r="T95" s="139"/>
      <c r="U95" s="140"/>
      <c r="V95" s="140"/>
    </row>
    <row r="97" spans="1:30" x14ac:dyDescent="0.2">
      <c r="A97" s="101" t="s">
        <v>234</v>
      </c>
      <c r="C97" s="139">
        <v>0.1</v>
      </c>
      <c r="D97" s="139">
        <v>0.12222222222222223</v>
      </c>
      <c r="E97" s="139">
        <v>0.14444444444444443</v>
      </c>
      <c r="F97" s="139">
        <v>0.16666666666666669</v>
      </c>
      <c r="G97" s="139">
        <v>0.18888888888888888</v>
      </c>
      <c r="H97" s="139">
        <v>0.21111111111111111</v>
      </c>
      <c r="I97" s="139">
        <v>0.23333333333333334</v>
      </c>
      <c r="J97" s="139">
        <v>0.25555555555555554</v>
      </c>
      <c r="K97" s="139">
        <v>0.27777777777777779</v>
      </c>
      <c r="L97" s="139">
        <v>0.30000000000000004</v>
      </c>
      <c r="S97" s="101" t="s">
        <v>225</v>
      </c>
      <c r="AD97" s="101">
        <v>960</v>
      </c>
    </row>
    <row r="98" spans="1:30" x14ac:dyDescent="0.2">
      <c r="B98" s="101" t="s">
        <v>238</v>
      </c>
      <c r="S98" s="101" t="s">
        <v>224</v>
      </c>
      <c r="AD98" s="101">
        <v>1120</v>
      </c>
    </row>
    <row r="99" spans="1:30" x14ac:dyDescent="0.2">
      <c r="A99" s="1"/>
      <c r="B99" s="107" t="s">
        <v>175</v>
      </c>
      <c r="C99" s="101" t="s">
        <v>223</v>
      </c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1" t="s">
        <v>226</v>
      </c>
      <c r="AD99" s="101">
        <v>1280</v>
      </c>
    </row>
    <row r="100" spans="1:30" x14ac:dyDescent="0.2">
      <c r="A100" s="101" t="s">
        <v>235</v>
      </c>
      <c r="B100" s="108" t="s">
        <v>232</v>
      </c>
      <c r="C100" s="112">
        <v>1</v>
      </c>
      <c r="D100" s="112">
        <v>2</v>
      </c>
      <c r="E100" s="112">
        <v>3</v>
      </c>
      <c r="F100" s="112">
        <v>4</v>
      </c>
      <c r="G100" s="112">
        <v>5</v>
      </c>
      <c r="H100" s="112">
        <v>6</v>
      </c>
      <c r="I100" s="112">
        <v>7</v>
      </c>
      <c r="J100" s="112">
        <v>8</v>
      </c>
      <c r="K100" s="112">
        <v>9</v>
      </c>
      <c r="L100" s="112">
        <v>10</v>
      </c>
      <c r="M100" s="114"/>
      <c r="N100" s="114"/>
      <c r="O100" s="114"/>
      <c r="P100" s="114"/>
      <c r="Q100" s="114"/>
      <c r="R100" s="114"/>
      <c r="S100" s="101" t="s">
        <v>227</v>
      </c>
      <c r="AD100" s="101">
        <v>1440</v>
      </c>
    </row>
    <row r="101" spans="1:30" x14ac:dyDescent="0.2">
      <c r="A101" s="139">
        <v>0.1</v>
      </c>
      <c r="B101" s="128">
        <v>1</v>
      </c>
      <c r="C101" s="123">
        <f>$C46*C$97</f>
        <v>1600</v>
      </c>
      <c r="D101" s="123">
        <f t="shared" ref="D101:L101" si="52">$C46*D$97</f>
        <v>1955.5555555555557</v>
      </c>
      <c r="E101" s="123">
        <f t="shared" si="52"/>
        <v>2311.1111111111109</v>
      </c>
      <c r="F101" s="123">
        <f t="shared" si="52"/>
        <v>2666.666666666667</v>
      </c>
      <c r="G101" s="123">
        <f t="shared" si="52"/>
        <v>3022.2222222222222</v>
      </c>
      <c r="H101" s="123">
        <f t="shared" si="52"/>
        <v>3377.7777777777778</v>
      </c>
      <c r="I101" s="123">
        <f t="shared" si="52"/>
        <v>3733.3333333333335</v>
      </c>
      <c r="J101" s="123">
        <f t="shared" si="52"/>
        <v>4088.8888888888887</v>
      </c>
      <c r="K101" s="123">
        <f t="shared" si="52"/>
        <v>4444.4444444444443</v>
      </c>
      <c r="L101" s="123">
        <f t="shared" si="52"/>
        <v>4800.0000000000009</v>
      </c>
      <c r="M101" s="123"/>
      <c r="N101" s="123"/>
      <c r="O101" s="123"/>
      <c r="P101" s="123"/>
      <c r="Q101" s="123"/>
      <c r="R101" s="123"/>
      <c r="S101" s="101" t="s">
        <v>229</v>
      </c>
      <c r="AD101" s="101">
        <v>1600</v>
      </c>
    </row>
    <row r="102" spans="1:30" x14ac:dyDescent="0.2">
      <c r="A102" s="139">
        <v>0.12222222222222223</v>
      </c>
      <c r="B102" s="128">
        <v>2</v>
      </c>
      <c r="C102" s="123">
        <f t="shared" ref="C102:L102" si="53">$C47*C$97</f>
        <v>1920</v>
      </c>
      <c r="D102" s="123">
        <f t="shared" si="53"/>
        <v>2346.666666666667</v>
      </c>
      <c r="E102" s="123">
        <f t="shared" si="53"/>
        <v>2773.333333333333</v>
      </c>
      <c r="F102" s="123">
        <f t="shared" si="53"/>
        <v>3200.0000000000005</v>
      </c>
      <c r="G102" s="123">
        <f t="shared" si="53"/>
        <v>3626.6666666666665</v>
      </c>
      <c r="H102" s="123">
        <f t="shared" si="53"/>
        <v>4053.3333333333335</v>
      </c>
      <c r="I102" s="123">
        <f t="shared" si="53"/>
        <v>4480</v>
      </c>
      <c r="J102" s="123">
        <f t="shared" si="53"/>
        <v>4906.6666666666661</v>
      </c>
      <c r="K102" s="123">
        <f t="shared" si="53"/>
        <v>5333.3333333333339</v>
      </c>
      <c r="L102" s="123">
        <f t="shared" si="53"/>
        <v>5760.0000000000009</v>
      </c>
      <c r="M102" s="123"/>
      <c r="N102" s="123"/>
      <c r="O102" s="123"/>
      <c r="P102" s="123"/>
      <c r="Q102" s="123"/>
      <c r="R102" s="123"/>
      <c r="S102" s="101" t="s">
        <v>231</v>
      </c>
      <c r="AD102" s="101">
        <v>1760</v>
      </c>
    </row>
    <row r="103" spans="1:30" x14ac:dyDescent="0.2">
      <c r="A103" s="139">
        <v>0.14444444444444443</v>
      </c>
      <c r="B103" s="128">
        <v>3</v>
      </c>
      <c r="C103" s="123">
        <f t="shared" ref="C103:L103" si="54">$C48*C$97</f>
        <v>2240</v>
      </c>
      <c r="D103" s="123">
        <f t="shared" si="54"/>
        <v>2737.7777777777778</v>
      </c>
      <c r="E103" s="123">
        <f t="shared" si="54"/>
        <v>3235.5555555555552</v>
      </c>
      <c r="F103" s="123">
        <f t="shared" si="54"/>
        <v>3733.3333333333339</v>
      </c>
      <c r="G103" s="123">
        <f t="shared" si="54"/>
        <v>4231.1111111111113</v>
      </c>
      <c r="H103" s="123">
        <f t="shared" si="54"/>
        <v>4728.8888888888887</v>
      </c>
      <c r="I103" s="123">
        <f t="shared" si="54"/>
        <v>5226.666666666667</v>
      </c>
      <c r="J103" s="123">
        <f t="shared" si="54"/>
        <v>5724.4444444444443</v>
      </c>
      <c r="K103" s="123">
        <f t="shared" si="54"/>
        <v>6222.2222222222226</v>
      </c>
      <c r="L103" s="123">
        <f t="shared" si="54"/>
        <v>6720.0000000000009</v>
      </c>
      <c r="M103" s="123"/>
      <c r="N103" s="123"/>
      <c r="O103" s="123"/>
      <c r="P103" s="123"/>
      <c r="Q103" s="123"/>
      <c r="R103" s="123"/>
      <c r="S103" s="101" t="s">
        <v>230</v>
      </c>
      <c r="AD103" s="101">
        <v>1920</v>
      </c>
    </row>
    <row r="104" spans="1:30" x14ac:dyDescent="0.2">
      <c r="A104" s="139">
        <v>0.16666666666666669</v>
      </c>
      <c r="B104" s="128">
        <v>4</v>
      </c>
      <c r="C104" s="123">
        <f t="shared" ref="C104:L104" si="55">$C49*C$97</f>
        <v>2560</v>
      </c>
      <c r="D104" s="123">
        <f t="shared" si="55"/>
        <v>3128.8888888888891</v>
      </c>
      <c r="E104" s="123">
        <f t="shared" si="55"/>
        <v>3697.7777777777774</v>
      </c>
      <c r="F104" s="123">
        <f t="shared" si="55"/>
        <v>4266.666666666667</v>
      </c>
      <c r="G104" s="123">
        <f t="shared" si="55"/>
        <v>4835.5555555555557</v>
      </c>
      <c r="H104" s="123">
        <f t="shared" si="55"/>
        <v>5404.4444444444443</v>
      </c>
      <c r="I104" s="123">
        <f t="shared" si="55"/>
        <v>5973.333333333333</v>
      </c>
      <c r="J104" s="123">
        <f t="shared" si="55"/>
        <v>6542.2222222222217</v>
      </c>
      <c r="K104" s="123">
        <f t="shared" si="55"/>
        <v>7111.1111111111113</v>
      </c>
      <c r="L104" s="123">
        <f t="shared" si="55"/>
        <v>7680.0000000000009</v>
      </c>
      <c r="M104" s="123"/>
      <c r="N104" s="123"/>
      <c r="O104" s="123"/>
      <c r="P104" s="123"/>
      <c r="Q104" s="123"/>
      <c r="R104" s="123"/>
      <c r="AD104" s="101">
        <v>2080</v>
      </c>
    </row>
    <row r="105" spans="1:30" x14ac:dyDescent="0.2">
      <c r="A105" s="139">
        <v>0.18888888888888888</v>
      </c>
      <c r="B105" s="128">
        <v>5</v>
      </c>
      <c r="C105" s="123">
        <f t="shared" ref="C105:L105" si="56">$C50*C$97</f>
        <v>2880</v>
      </c>
      <c r="D105" s="123">
        <f t="shared" si="56"/>
        <v>3520.0000000000005</v>
      </c>
      <c r="E105" s="123">
        <f t="shared" si="56"/>
        <v>4160</v>
      </c>
      <c r="F105" s="123">
        <f t="shared" si="56"/>
        <v>4800.0000000000009</v>
      </c>
      <c r="G105" s="123">
        <f t="shared" si="56"/>
        <v>5440</v>
      </c>
      <c r="H105" s="123">
        <f t="shared" si="56"/>
        <v>6080</v>
      </c>
      <c r="I105" s="123">
        <f t="shared" si="56"/>
        <v>6720</v>
      </c>
      <c r="J105" s="123">
        <f t="shared" si="56"/>
        <v>7359.9999999999991</v>
      </c>
      <c r="K105" s="123">
        <f t="shared" si="56"/>
        <v>8000</v>
      </c>
      <c r="L105" s="123">
        <f t="shared" si="56"/>
        <v>8640.0000000000018</v>
      </c>
      <c r="M105" s="123"/>
      <c r="N105" s="123"/>
      <c r="O105" s="123"/>
      <c r="P105" s="123"/>
      <c r="Q105" s="123"/>
      <c r="R105" s="123"/>
      <c r="AD105" s="101">
        <v>2240</v>
      </c>
    </row>
    <row r="106" spans="1:30" x14ac:dyDescent="0.2">
      <c r="A106" s="139">
        <v>0.21111111111111111</v>
      </c>
      <c r="B106" s="128">
        <v>6</v>
      </c>
      <c r="C106" s="123">
        <f t="shared" ref="C106:L106" si="57">$C51*C$97</f>
        <v>3200</v>
      </c>
      <c r="D106" s="123">
        <f t="shared" si="57"/>
        <v>3911.1111111111113</v>
      </c>
      <c r="E106" s="123">
        <f t="shared" si="57"/>
        <v>4622.2222222222217</v>
      </c>
      <c r="F106" s="123">
        <f t="shared" si="57"/>
        <v>5333.3333333333339</v>
      </c>
      <c r="G106" s="123">
        <f t="shared" si="57"/>
        <v>6044.4444444444443</v>
      </c>
      <c r="H106" s="123">
        <f t="shared" si="57"/>
        <v>6755.5555555555557</v>
      </c>
      <c r="I106" s="123">
        <f t="shared" si="57"/>
        <v>7466.666666666667</v>
      </c>
      <c r="J106" s="123">
        <f t="shared" si="57"/>
        <v>8177.7777777777774</v>
      </c>
      <c r="K106" s="123">
        <f t="shared" si="57"/>
        <v>8888.8888888888887</v>
      </c>
      <c r="L106" s="123">
        <f t="shared" si="57"/>
        <v>9600.0000000000018</v>
      </c>
      <c r="M106" s="123"/>
      <c r="N106" s="123"/>
      <c r="O106" s="123"/>
      <c r="P106" s="123"/>
      <c r="Q106" s="123"/>
      <c r="R106" s="123"/>
      <c r="S106" s="101" t="s">
        <v>228</v>
      </c>
      <c r="AD106" s="101">
        <v>2400</v>
      </c>
    </row>
    <row r="107" spans="1:30" x14ac:dyDescent="0.2">
      <c r="A107" s="139">
        <v>0.23333333333333334</v>
      </c>
      <c r="B107" s="128">
        <v>7</v>
      </c>
      <c r="C107" s="123">
        <f t="shared" ref="C107:L107" si="58">$C52*C$97</f>
        <v>3520</v>
      </c>
      <c r="D107" s="123">
        <f t="shared" si="58"/>
        <v>4302.2222222222226</v>
      </c>
      <c r="E107" s="123">
        <f t="shared" si="58"/>
        <v>5084.4444444444443</v>
      </c>
      <c r="F107" s="123">
        <f t="shared" si="58"/>
        <v>5866.666666666667</v>
      </c>
      <c r="G107" s="123">
        <f t="shared" si="58"/>
        <v>6648.8888888888887</v>
      </c>
      <c r="H107" s="123">
        <f t="shared" si="58"/>
        <v>7431.1111111111113</v>
      </c>
      <c r="I107" s="123">
        <f t="shared" si="58"/>
        <v>8213.3333333333339</v>
      </c>
      <c r="J107" s="123">
        <f t="shared" si="58"/>
        <v>8995.5555555555547</v>
      </c>
      <c r="K107" s="123">
        <f t="shared" si="58"/>
        <v>9777.7777777777774</v>
      </c>
      <c r="L107" s="123">
        <f t="shared" si="58"/>
        <v>10560.000000000002</v>
      </c>
      <c r="M107" s="123"/>
      <c r="N107" s="123"/>
      <c r="O107" s="123"/>
      <c r="P107" s="123"/>
      <c r="Q107" s="123"/>
      <c r="R107" s="123"/>
      <c r="AD107" s="101">
        <v>2560</v>
      </c>
    </row>
    <row r="108" spans="1:30" x14ac:dyDescent="0.2">
      <c r="A108" s="139">
        <v>0.25555555555555554</v>
      </c>
      <c r="B108" s="128">
        <v>8</v>
      </c>
      <c r="C108" s="123">
        <f t="shared" ref="C108:L108" si="59">$C53*C$97</f>
        <v>3840</v>
      </c>
      <c r="D108" s="123">
        <f t="shared" si="59"/>
        <v>4693.3333333333339</v>
      </c>
      <c r="E108" s="123">
        <f t="shared" si="59"/>
        <v>5546.6666666666661</v>
      </c>
      <c r="F108" s="123">
        <f t="shared" si="59"/>
        <v>6400.0000000000009</v>
      </c>
      <c r="G108" s="123">
        <f t="shared" si="59"/>
        <v>7253.333333333333</v>
      </c>
      <c r="H108" s="123">
        <f t="shared" si="59"/>
        <v>8106.666666666667</v>
      </c>
      <c r="I108" s="123">
        <f t="shared" si="59"/>
        <v>8960</v>
      </c>
      <c r="J108" s="123">
        <f t="shared" si="59"/>
        <v>9813.3333333333321</v>
      </c>
      <c r="K108" s="123">
        <f t="shared" si="59"/>
        <v>10666.666666666668</v>
      </c>
      <c r="L108" s="123">
        <f t="shared" si="59"/>
        <v>11520.000000000002</v>
      </c>
      <c r="M108" s="123"/>
      <c r="N108" s="123"/>
      <c r="O108" s="123"/>
      <c r="P108" s="123"/>
      <c r="Q108" s="123"/>
      <c r="R108" s="123"/>
      <c r="S108" s="101" t="s">
        <v>236</v>
      </c>
      <c r="AD108" s="101">
        <v>2720</v>
      </c>
    </row>
    <row r="109" spans="1:30" x14ac:dyDescent="0.2">
      <c r="A109" s="139">
        <v>0.27777777777777779</v>
      </c>
      <c r="B109" s="128">
        <v>9</v>
      </c>
      <c r="C109" s="123">
        <f t="shared" ref="C109:L109" si="60">$C54*C$97</f>
        <v>4160</v>
      </c>
      <c r="D109" s="123">
        <f t="shared" si="60"/>
        <v>5084.4444444444453</v>
      </c>
      <c r="E109" s="123">
        <f t="shared" si="60"/>
        <v>6008.8888888888887</v>
      </c>
      <c r="F109" s="123">
        <f t="shared" si="60"/>
        <v>6933.3333333333339</v>
      </c>
      <c r="G109" s="123">
        <f t="shared" si="60"/>
        <v>7857.7777777777774</v>
      </c>
      <c r="H109" s="123">
        <f t="shared" si="60"/>
        <v>8782.2222222222226</v>
      </c>
      <c r="I109" s="123">
        <f t="shared" si="60"/>
        <v>9706.6666666666661</v>
      </c>
      <c r="J109" s="123">
        <f t="shared" si="60"/>
        <v>10631.111111111109</v>
      </c>
      <c r="K109" s="123">
        <f t="shared" si="60"/>
        <v>11555.555555555557</v>
      </c>
      <c r="L109" s="123">
        <f t="shared" si="60"/>
        <v>12480.000000000002</v>
      </c>
      <c r="M109" s="123"/>
      <c r="N109" s="123"/>
      <c r="O109" s="123"/>
      <c r="P109" s="123"/>
      <c r="Q109" s="123"/>
      <c r="R109" s="123"/>
      <c r="AD109" s="101">
        <v>2880</v>
      </c>
    </row>
    <row r="110" spans="1:30" x14ac:dyDescent="0.2">
      <c r="A110" s="139">
        <v>0.30000000000000004</v>
      </c>
      <c r="B110" s="128">
        <v>10</v>
      </c>
      <c r="C110" s="123">
        <f t="shared" ref="C110:L110" si="61">$C55*C$97</f>
        <v>4480</v>
      </c>
      <c r="D110" s="123">
        <f t="shared" si="61"/>
        <v>5475.5555555555557</v>
      </c>
      <c r="E110" s="123">
        <f t="shared" si="61"/>
        <v>6471.1111111111104</v>
      </c>
      <c r="F110" s="123">
        <f t="shared" si="61"/>
        <v>7466.6666666666679</v>
      </c>
      <c r="G110" s="123">
        <f t="shared" si="61"/>
        <v>8462.2222222222226</v>
      </c>
      <c r="H110" s="123">
        <f t="shared" si="61"/>
        <v>9457.7777777777774</v>
      </c>
      <c r="I110" s="123">
        <f t="shared" si="61"/>
        <v>10453.333333333334</v>
      </c>
      <c r="J110" s="123">
        <f t="shared" si="61"/>
        <v>11448.888888888889</v>
      </c>
      <c r="K110" s="123">
        <f t="shared" si="61"/>
        <v>12444.444444444445</v>
      </c>
      <c r="L110" s="123">
        <f t="shared" si="61"/>
        <v>13440.000000000002</v>
      </c>
      <c r="M110" s="123"/>
      <c r="N110" s="123"/>
      <c r="O110" s="123"/>
      <c r="P110" s="123"/>
      <c r="Q110" s="123"/>
      <c r="R110" s="123"/>
      <c r="AD110" s="101">
        <v>3040</v>
      </c>
    </row>
    <row r="111" spans="1:30" x14ac:dyDescent="0.2">
      <c r="B111" s="128">
        <v>11</v>
      </c>
      <c r="C111" s="123">
        <f t="shared" ref="C111:L111" si="62">$C56*C$97</f>
        <v>4800</v>
      </c>
      <c r="D111" s="123">
        <f t="shared" si="62"/>
        <v>5866.666666666667</v>
      </c>
      <c r="E111" s="123">
        <f t="shared" si="62"/>
        <v>6933.333333333333</v>
      </c>
      <c r="F111" s="123">
        <f t="shared" si="62"/>
        <v>8000.0000000000009</v>
      </c>
      <c r="G111" s="123">
        <f t="shared" si="62"/>
        <v>9066.6666666666661</v>
      </c>
      <c r="H111" s="123">
        <f t="shared" si="62"/>
        <v>10133.333333333334</v>
      </c>
      <c r="I111" s="123">
        <f t="shared" si="62"/>
        <v>11200</v>
      </c>
      <c r="J111" s="123">
        <f t="shared" si="62"/>
        <v>12266.666666666666</v>
      </c>
      <c r="K111" s="123">
        <f t="shared" si="62"/>
        <v>13333.333333333334</v>
      </c>
      <c r="L111" s="123">
        <f t="shared" si="62"/>
        <v>14400.000000000002</v>
      </c>
      <c r="S111" s="101" t="s">
        <v>240</v>
      </c>
      <c r="AD111" s="101">
        <v>3200</v>
      </c>
    </row>
    <row r="112" spans="1:30" x14ac:dyDescent="0.2">
      <c r="B112" s="128">
        <v>12</v>
      </c>
      <c r="C112" s="123">
        <f t="shared" ref="C112:L112" si="63">$C57*C$97</f>
        <v>5120</v>
      </c>
      <c r="D112" s="123">
        <f t="shared" si="63"/>
        <v>6257.7777777777783</v>
      </c>
      <c r="E112" s="123">
        <f t="shared" si="63"/>
        <v>7395.5555555555547</v>
      </c>
      <c r="F112" s="123">
        <f t="shared" si="63"/>
        <v>8533.3333333333339</v>
      </c>
      <c r="G112" s="123">
        <f t="shared" si="63"/>
        <v>9671.1111111111113</v>
      </c>
      <c r="H112" s="123">
        <f t="shared" si="63"/>
        <v>10808.888888888889</v>
      </c>
      <c r="I112" s="123">
        <f t="shared" si="63"/>
        <v>11946.666666666666</v>
      </c>
      <c r="J112" s="123">
        <f t="shared" si="63"/>
        <v>13084.444444444443</v>
      </c>
      <c r="K112" s="123">
        <f t="shared" si="63"/>
        <v>14222.222222222223</v>
      </c>
      <c r="L112" s="123">
        <f t="shared" si="63"/>
        <v>15360.000000000002</v>
      </c>
      <c r="S112" s="101" t="s">
        <v>242</v>
      </c>
    </row>
    <row r="113" spans="2:20" x14ac:dyDescent="0.2">
      <c r="B113" s="128">
        <v>13</v>
      </c>
      <c r="C113" s="123">
        <f t="shared" ref="C113:L113" si="64">$C58*C$97</f>
        <v>5440</v>
      </c>
      <c r="D113" s="123">
        <f t="shared" si="64"/>
        <v>6648.8888888888896</v>
      </c>
      <c r="E113" s="123">
        <f t="shared" si="64"/>
        <v>7857.7777777777774</v>
      </c>
      <c r="F113" s="123">
        <f t="shared" si="64"/>
        <v>9066.6666666666679</v>
      </c>
      <c r="G113" s="123">
        <f t="shared" si="64"/>
        <v>10275.555555555555</v>
      </c>
      <c r="H113" s="123">
        <f t="shared" si="64"/>
        <v>11484.444444444445</v>
      </c>
      <c r="I113" s="123">
        <f t="shared" si="64"/>
        <v>12693.333333333334</v>
      </c>
      <c r="J113" s="123">
        <f t="shared" si="64"/>
        <v>13902.222222222221</v>
      </c>
      <c r="K113" s="123">
        <f t="shared" si="64"/>
        <v>15111.111111111111</v>
      </c>
      <c r="L113" s="123">
        <f t="shared" si="64"/>
        <v>16320.000000000002</v>
      </c>
      <c r="S113" s="101" t="s">
        <v>241</v>
      </c>
    </row>
    <row r="114" spans="2:20" x14ac:dyDescent="0.2">
      <c r="B114" s="128">
        <v>14</v>
      </c>
      <c r="C114" s="123">
        <f t="shared" ref="C114:L114" si="65">$C59*C$97</f>
        <v>5760</v>
      </c>
      <c r="D114" s="123">
        <f t="shared" si="65"/>
        <v>7040.0000000000009</v>
      </c>
      <c r="E114" s="123">
        <f t="shared" si="65"/>
        <v>8320</v>
      </c>
      <c r="F114" s="123">
        <f t="shared" si="65"/>
        <v>9600.0000000000018</v>
      </c>
      <c r="G114" s="123">
        <f t="shared" si="65"/>
        <v>10880</v>
      </c>
      <c r="H114" s="123">
        <f t="shared" si="65"/>
        <v>12160</v>
      </c>
      <c r="I114" s="123">
        <f t="shared" si="65"/>
        <v>13440</v>
      </c>
      <c r="J114" s="123">
        <f t="shared" si="65"/>
        <v>14719.999999999998</v>
      </c>
      <c r="K114" s="123">
        <f t="shared" si="65"/>
        <v>16000</v>
      </c>
      <c r="L114" s="123">
        <f t="shared" si="65"/>
        <v>17280.000000000004</v>
      </c>
      <c r="S114" s="101" t="s">
        <v>243</v>
      </c>
    </row>
    <row r="115" spans="2:20" x14ac:dyDescent="0.2">
      <c r="B115" s="128">
        <v>15</v>
      </c>
      <c r="C115" s="123">
        <f t="shared" ref="C115:L115" si="66">$C60*C$97</f>
        <v>6080</v>
      </c>
      <c r="D115" s="123">
        <f t="shared" si="66"/>
        <v>7431.1111111111113</v>
      </c>
      <c r="E115" s="123">
        <f t="shared" si="66"/>
        <v>8782.2222222222208</v>
      </c>
      <c r="F115" s="123">
        <f t="shared" si="66"/>
        <v>10133.333333333334</v>
      </c>
      <c r="G115" s="123">
        <f t="shared" si="66"/>
        <v>11484.444444444443</v>
      </c>
      <c r="H115" s="123">
        <f t="shared" si="66"/>
        <v>12835.555555555555</v>
      </c>
      <c r="I115" s="123">
        <f t="shared" si="66"/>
        <v>14186.666666666666</v>
      </c>
      <c r="J115" s="123">
        <f t="shared" si="66"/>
        <v>15537.777777777777</v>
      </c>
      <c r="K115" s="123">
        <f t="shared" si="66"/>
        <v>16888.888888888891</v>
      </c>
      <c r="L115" s="123">
        <f t="shared" si="66"/>
        <v>18240.000000000004</v>
      </c>
    </row>
    <row r="116" spans="2:20" x14ac:dyDescent="0.2">
      <c r="B116" s="128">
        <v>16</v>
      </c>
      <c r="C116" s="123">
        <f t="shared" ref="C116:L116" si="67">$C61*C$97</f>
        <v>6400</v>
      </c>
      <c r="D116" s="123">
        <f t="shared" si="67"/>
        <v>7822.2222222222226</v>
      </c>
      <c r="E116" s="123">
        <f t="shared" si="67"/>
        <v>9244.4444444444434</v>
      </c>
      <c r="F116" s="123">
        <f t="shared" si="67"/>
        <v>10666.666666666668</v>
      </c>
      <c r="G116" s="123">
        <f t="shared" si="67"/>
        <v>12088.888888888889</v>
      </c>
      <c r="H116" s="123">
        <f t="shared" si="67"/>
        <v>13511.111111111111</v>
      </c>
      <c r="I116" s="123">
        <f t="shared" si="67"/>
        <v>14933.333333333334</v>
      </c>
      <c r="J116" s="123">
        <f t="shared" si="67"/>
        <v>16355.555555555555</v>
      </c>
      <c r="K116" s="123">
        <f t="shared" si="67"/>
        <v>17777.777777777777</v>
      </c>
      <c r="L116" s="123">
        <f t="shared" si="67"/>
        <v>19200.000000000004</v>
      </c>
      <c r="S116" s="101" t="s">
        <v>244</v>
      </c>
      <c r="T116" s="101" t="s">
        <v>245</v>
      </c>
    </row>
    <row r="117" spans="2:20" x14ac:dyDescent="0.2">
      <c r="S117" s="101">
        <v>1</v>
      </c>
      <c r="T117" s="140">
        <v>0</v>
      </c>
    </row>
    <row r="118" spans="2:20" x14ac:dyDescent="0.2">
      <c r="B118" s="101" t="s">
        <v>435</v>
      </c>
      <c r="S118" s="101">
        <v>2</v>
      </c>
      <c r="T118" s="140">
        <v>1.249999999999999E-2</v>
      </c>
    </row>
    <row r="119" spans="2:20" x14ac:dyDescent="0.2">
      <c r="B119" s="101" t="s">
        <v>436</v>
      </c>
      <c r="S119" s="101">
        <v>3</v>
      </c>
      <c r="T119" s="140">
        <v>2.4999999999999994E-2</v>
      </c>
    </row>
    <row r="120" spans="2:20" x14ac:dyDescent="0.2">
      <c r="S120" s="101">
        <v>4</v>
      </c>
      <c r="T120" s="140">
        <v>3.7499999999999992E-2</v>
      </c>
    </row>
    <row r="121" spans="2:20" x14ac:dyDescent="0.2">
      <c r="S121" s="101">
        <v>5</v>
      </c>
      <c r="T121" s="140">
        <v>4.9999999999999989E-2</v>
      </c>
    </row>
    <row r="122" spans="2:20" x14ac:dyDescent="0.2">
      <c r="S122" s="101">
        <v>6</v>
      </c>
      <c r="T122" s="140">
        <v>6.25E-2</v>
      </c>
    </row>
    <row r="123" spans="2:20" x14ac:dyDescent="0.2">
      <c r="S123" s="101">
        <v>7</v>
      </c>
      <c r="T123" s="140">
        <v>7.4999999999999997E-2</v>
      </c>
    </row>
    <row r="124" spans="2:20" x14ac:dyDescent="0.2">
      <c r="S124" s="101">
        <v>8</v>
      </c>
      <c r="T124" s="140">
        <v>8.7499999999999994E-2</v>
      </c>
    </row>
    <row r="125" spans="2:20" x14ac:dyDescent="0.2">
      <c r="S125" s="101">
        <v>9</v>
      </c>
      <c r="T125" s="140">
        <v>9.9999999999999992E-2</v>
      </c>
    </row>
    <row r="126" spans="2:20" x14ac:dyDescent="0.2">
      <c r="S126" s="101">
        <v>10</v>
      </c>
      <c r="T126" s="140">
        <v>0.11249999999999999</v>
      </c>
    </row>
    <row r="127" spans="2:20" x14ac:dyDescent="0.2">
      <c r="S127" s="101">
        <v>11</v>
      </c>
      <c r="T127" s="140">
        <v>0.125</v>
      </c>
    </row>
    <row r="128" spans="2:20" x14ac:dyDescent="0.2">
      <c r="S128" s="101">
        <v>12</v>
      </c>
      <c r="T128" s="140">
        <v>0.13750000000000001</v>
      </c>
    </row>
    <row r="129" spans="19:20" x14ac:dyDescent="0.2">
      <c r="S129" s="101">
        <v>13</v>
      </c>
      <c r="T129" s="140">
        <v>0.15</v>
      </c>
    </row>
    <row r="130" spans="19:20" x14ac:dyDescent="0.2">
      <c r="S130" s="101">
        <v>14</v>
      </c>
      <c r="T130" s="140">
        <v>0.16250000000000001</v>
      </c>
    </row>
    <row r="131" spans="19:20" x14ac:dyDescent="0.2">
      <c r="S131" s="101">
        <v>15</v>
      </c>
      <c r="T131" s="140">
        <v>0.17499999999999999</v>
      </c>
    </row>
    <row r="132" spans="19:20" x14ac:dyDescent="0.2">
      <c r="S132" s="101">
        <v>16</v>
      </c>
      <c r="T132" s="140">
        <v>0.1875</v>
      </c>
    </row>
    <row r="133" spans="19:20" x14ac:dyDescent="0.2">
      <c r="S133" s="101">
        <v>17</v>
      </c>
      <c r="T133" s="140">
        <v>0.2</v>
      </c>
    </row>
    <row r="134" spans="19:20" x14ac:dyDescent="0.2">
      <c r="S134" s="101">
        <v>18</v>
      </c>
      <c r="T134" s="140">
        <v>0.21249999999999999</v>
      </c>
    </row>
    <row r="135" spans="19:20" x14ac:dyDescent="0.2">
      <c r="S135" s="101">
        <v>19</v>
      </c>
      <c r="T135" s="140">
        <v>0.22500000000000001</v>
      </c>
    </row>
    <row r="136" spans="19:20" x14ac:dyDescent="0.2">
      <c r="S136" s="101">
        <v>20</v>
      </c>
      <c r="T136" s="140">
        <v>0.23749999999999999</v>
      </c>
    </row>
    <row r="137" spans="19:20" x14ac:dyDescent="0.2">
      <c r="S137" s="101">
        <v>21</v>
      </c>
      <c r="T137" s="140">
        <v>0.25</v>
      </c>
    </row>
    <row r="138" spans="19:20" x14ac:dyDescent="0.2">
      <c r="S138" s="101">
        <v>22</v>
      </c>
      <c r="T138" s="140">
        <v>0.26250000000000001</v>
      </c>
    </row>
    <row r="139" spans="19:20" x14ac:dyDescent="0.2">
      <c r="S139" s="101">
        <v>23</v>
      </c>
      <c r="T139" s="140">
        <v>0.27500000000000002</v>
      </c>
    </row>
    <row r="140" spans="19:20" x14ac:dyDescent="0.2">
      <c r="S140" s="101">
        <v>24</v>
      </c>
      <c r="T140" s="140">
        <v>0.28750000000000003</v>
      </c>
    </row>
    <row r="141" spans="19:20" x14ac:dyDescent="0.2">
      <c r="S141" s="101">
        <v>25</v>
      </c>
      <c r="T141" s="140">
        <v>0.3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87"/>
  <sheetViews>
    <sheetView zoomScaleNormal="100" workbookViewId="0">
      <selection activeCell="D26" sqref="D26"/>
    </sheetView>
  </sheetViews>
  <sheetFormatPr defaultRowHeight="11.25" x14ac:dyDescent="0.2"/>
  <cols>
    <col min="1" max="1" width="9" style="101"/>
    <col min="2" max="2" width="7.625" style="101" bestFit="1" customWidth="1"/>
    <col min="3" max="3" width="9.25" style="101" customWidth="1"/>
    <col min="4" max="4" width="7.75" style="154" bestFit="1" customWidth="1"/>
    <col min="5" max="5" width="6.625" style="154" bestFit="1" customWidth="1"/>
    <col min="6" max="8" width="5.75" style="154" bestFit="1" customWidth="1"/>
    <col min="9" max="9" width="4.875" style="154" customWidth="1"/>
    <col min="10" max="53" width="5.75" style="154" bestFit="1" customWidth="1"/>
    <col min="54" max="16384" width="9" style="101"/>
  </cols>
  <sheetData>
    <row r="1" spans="2:53" ht="20.25" x14ac:dyDescent="0.35">
      <c r="C1" s="131" t="s">
        <v>285</v>
      </c>
      <c r="J1" s="155"/>
      <c r="K1" s="154" t="s">
        <v>284</v>
      </c>
      <c r="O1" s="154" t="s">
        <v>286</v>
      </c>
      <c r="R1" s="155" t="s">
        <v>222</v>
      </c>
    </row>
    <row r="2" spans="2:53" x14ac:dyDescent="0.2">
      <c r="C2" s="101" t="s">
        <v>283</v>
      </c>
      <c r="D2" s="154">
        <v>100</v>
      </c>
      <c r="K2" s="164">
        <f>'매칭-전투력'!F69</f>
        <v>1.1000000000000001</v>
      </c>
      <c r="O2" s="165">
        <f>'매칭-전투력'!G69</f>
        <v>0.01</v>
      </c>
    </row>
    <row r="3" spans="2:53" x14ac:dyDescent="0.2">
      <c r="C3" s="107" t="s">
        <v>175</v>
      </c>
      <c r="D3" s="156" t="s">
        <v>206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7"/>
    </row>
    <row r="4" spans="2:53" x14ac:dyDescent="0.2">
      <c r="C4" s="142"/>
      <c r="D4" s="158">
        <v>1</v>
      </c>
      <c r="E4" s="158">
        <v>2</v>
      </c>
      <c r="F4" s="158">
        <v>3</v>
      </c>
      <c r="G4" s="158">
        <v>4</v>
      </c>
      <c r="H4" s="158">
        <v>5</v>
      </c>
      <c r="I4" s="158">
        <v>6</v>
      </c>
      <c r="J4" s="158">
        <v>7</v>
      </c>
      <c r="K4" s="158">
        <v>8</v>
      </c>
      <c r="L4" s="158">
        <v>9</v>
      </c>
      <c r="M4" s="158">
        <v>10</v>
      </c>
      <c r="N4" s="158">
        <v>11</v>
      </c>
      <c r="O4" s="158">
        <v>12</v>
      </c>
      <c r="P4" s="158">
        <v>13</v>
      </c>
      <c r="Q4" s="158">
        <v>14</v>
      </c>
      <c r="R4" s="158">
        <v>15</v>
      </c>
      <c r="S4" s="158">
        <v>16</v>
      </c>
      <c r="T4" s="158">
        <v>17</v>
      </c>
      <c r="U4" s="158">
        <v>18</v>
      </c>
      <c r="V4" s="158">
        <v>19</v>
      </c>
      <c r="W4" s="158">
        <v>20</v>
      </c>
      <c r="X4" s="158">
        <v>21</v>
      </c>
      <c r="Y4" s="158">
        <v>22</v>
      </c>
      <c r="Z4" s="158">
        <v>23</v>
      </c>
      <c r="AA4" s="158">
        <v>24</v>
      </c>
      <c r="AB4" s="158">
        <v>25</v>
      </c>
      <c r="AC4" s="158">
        <v>26</v>
      </c>
      <c r="AD4" s="158">
        <v>27</v>
      </c>
      <c r="AE4" s="158">
        <v>28</v>
      </c>
      <c r="AF4" s="158">
        <v>29</v>
      </c>
      <c r="AG4" s="158">
        <v>30</v>
      </c>
      <c r="AH4" s="158">
        <v>31</v>
      </c>
      <c r="AI4" s="158">
        <v>32</v>
      </c>
      <c r="AJ4" s="158">
        <v>33</v>
      </c>
      <c r="AK4" s="158">
        <v>34</v>
      </c>
      <c r="AL4" s="158">
        <v>35</v>
      </c>
      <c r="AM4" s="158">
        <v>36</v>
      </c>
      <c r="AN4" s="158">
        <v>37</v>
      </c>
      <c r="AO4" s="158">
        <v>38</v>
      </c>
      <c r="AP4" s="158">
        <v>39</v>
      </c>
      <c r="AQ4" s="158">
        <v>40</v>
      </c>
      <c r="AR4" s="158">
        <v>41</v>
      </c>
      <c r="AS4" s="158">
        <v>42</v>
      </c>
      <c r="AT4" s="158">
        <v>43</v>
      </c>
      <c r="AU4" s="158">
        <v>44</v>
      </c>
      <c r="AV4" s="158">
        <v>45</v>
      </c>
      <c r="AW4" s="158">
        <v>46</v>
      </c>
      <c r="AX4" s="158">
        <v>47</v>
      </c>
      <c r="AY4" s="158">
        <v>48</v>
      </c>
      <c r="AZ4" s="158">
        <v>49</v>
      </c>
      <c r="BA4" s="158">
        <v>50</v>
      </c>
    </row>
    <row r="5" spans="2:53" x14ac:dyDescent="0.2">
      <c r="B5" s="101" t="s">
        <v>158</v>
      </c>
      <c r="C5" s="110" t="s">
        <v>216</v>
      </c>
      <c r="D5" s="167">
        <v>0</v>
      </c>
      <c r="E5" s="167">
        <f>D5+$O2</f>
        <v>0.01</v>
      </c>
      <c r="F5" s="167">
        <f t="shared" ref="F5:BA5" si="0">E5+$O2</f>
        <v>0.02</v>
      </c>
      <c r="G5" s="167">
        <f t="shared" si="0"/>
        <v>0.03</v>
      </c>
      <c r="H5" s="167">
        <f t="shared" si="0"/>
        <v>0.04</v>
      </c>
      <c r="I5" s="167">
        <f t="shared" si="0"/>
        <v>0.05</v>
      </c>
      <c r="J5" s="167">
        <f t="shared" si="0"/>
        <v>6.0000000000000005E-2</v>
      </c>
      <c r="K5" s="167">
        <f t="shared" si="0"/>
        <v>7.0000000000000007E-2</v>
      </c>
      <c r="L5" s="167">
        <f t="shared" si="0"/>
        <v>0.08</v>
      </c>
      <c r="M5" s="167">
        <f t="shared" si="0"/>
        <v>0.09</v>
      </c>
      <c r="N5" s="167">
        <f t="shared" si="0"/>
        <v>9.9999999999999992E-2</v>
      </c>
      <c r="O5" s="167">
        <f t="shared" si="0"/>
        <v>0.10999999999999999</v>
      </c>
      <c r="P5" s="167">
        <f t="shared" si="0"/>
        <v>0.11999999999999998</v>
      </c>
      <c r="Q5" s="167">
        <f t="shared" si="0"/>
        <v>0.12999999999999998</v>
      </c>
      <c r="R5" s="167">
        <f t="shared" si="0"/>
        <v>0.13999999999999999</v>
      </c>
      <c r="S5" s="167">
        <f t="shared" si="0"/>
        <v>0.15</v>
      </c>
      <c r="T5" s="167">
        <f t="shared" si="0"/>
        <v>0.16</v>
      </c>
      <c r="U5" s="167">
        <f t="shared" si="0"/>
        <v>0.17</v>
      </c>
      <c r="V5" s="167">
        <f t="shared" si="0"/>
        <v>0.18000000000000002</v>
      </c>
      <c r="W5" s="167">
        <f t="shared" si="0"/>
        <v>0.19000000000000003</v>
      </c>
      <c r="X5" s="167">
        <f t="shared" si="0"/>
        <v>0.20000000000000004</v>
      </c>
      <c r="Y5" s="167">
        <f t="shared" si="0"/>
        <v>0.21000000000000005</v>
      </c>
      <c r="Z5" s="167">
        <f t="shared" si="0"/>
        <v>0.22000000000000006</v>
      </c>
      <c r="AA5" s="167">
        <f t="shared" si="0"/>
        <v>0.23000000000000007</v>
      </c>
      <c r="AB5" s="167">
        <f t="shared" si="0"/>
        <v>0.24000000000000007</v>
      </c>
      <c r="AC5" s="167">
        <f t="shared" si="0"/>
        <v>0.25000000000000006</v>
      </c>
      <c r="AD5" s="167">
        <f t="shared" si="0"/>
        <v>0.26000000000000006</v>
      </c>
      <c r="AE5" s="167">
        <f t="shared" si="0"/>
        <v>0.27000000000000007</v>
      </c>
      <c r="AF5" s="167">
        <f t="shared" si="0"/>
        <v>0.28000000000000008</v>
      </c>
      <c r="AG5" s="167">
        <f t="shared" si="0"/>
        <v>0.29000000000000009</v>
      </c>
      <c r="AH5" s="167">
        <f t="shared" si="0"/>
        <v>0.3000000000000001</v>
      </c>
      <c r="AI5" s="167">
        <f t="shared" si="0"/>
        <v>0.31000000000000011</v>
      </c>
      <c r="AJ5" s="167">
        <f t="shared" si="0"/>
        <v>0.32000000000000012</v>
      </c>
      <c r="AK5" s="167">
        <f t="shared" si="0"/>
        <v>0.33000000000000013</v>
      </c>
      <c r="AL5" s="167">
        <f t="shared" si="0"/>
        <v>0.34000000000000014</v>
      </c>
      <c r="AM5" s="167">
        <f t="shared" si="0"/>
        <v>0.35000000000000014</v>
      </c>
      <c r="AN5" s="167">
        <f t="shared" si="0"/>
        <v>0.36000000000000015</v>
      </c>
      <c r="AO5" s="167">
        <f t="shared" si="0"/>
        <v>0.37000000000000016</v>
      </c>
      <c r="AP5" s="167">
        <f t="shared" si="0"/>
        <v>0.38000000000000017</v>
      </c>
      <c r="AQ5" s="167">
        <f t="shared" si="0"/>
        <v>0.39000000000000018</v>
      </c>
      <c r="AR5" s="167">
        <f t="shared" si="0"/>
        <v>0.40000000000000019</v>
      </c>
      <c r="AS5" s="167">
        <f t="shared" si="0"/>
        <v>0.4100000000000002</v>
      </c>
      <c r="AT5" s="167">
        <f t="shared" si="0"/>
        <v>0.42000000000000021</v>
      </c>
      <c r="AU5" s="167">
        <f t="shared" si="0"/>
        <v>0.43000000000000022</v>
      </c>
      <c r="AV5" s="167">
        <f t="shared" si="0"/>
        <v>0.44000000000000022</v>
      </c>
      <c r="AW5" s="167">
        <f t="shared" si="0"/>
        <v>0.45000000000000023</v>
      </c>
      <c r="AX5" s="167">
        <f t="shared" si="0"/>
        <v>0.46000000000000024</v>
      </c>
      <c r="AY5" s="167">
        <f t="shared" si="0"/>
        <v>0.47000000000000025</v>
      </c>
      <c r="AZ5" s="167">
        <f t="shared" si="0"/>
        <v>0.48000000000000026</v>
      </c>
      <c r="BA5" s="167">
        <f t="shared" si="0"/>
        <v>0.49000000000000027</v>
      </c>
    </row>
    <row r="6" spans="2:53" x14ac:dyDescent="0.2">
      <c r="B6" s="101">
        <v>1</v>
      </c>
      <c r="C6" s="113">
        <v>5</v>
      </c>
      <c r="D6" s="158">
        <f t="shared" ref="D6:M15" si="1">(base_score*($K$2+D$5)) * $C6</f>
        <v>550.00000000000011</v>
      </c>
      <c r="E6" s="158">
        <f t="shared" si="1"/>
        <v>555.00000000000011</v>
      </c>
      <c r="F6" s="158">
        <f t="shared" si="1"/>
        <v>560.00000000000011</v>
      </c>
      <c r="G6" s="158">
        <f t="shared" si="1"/>
        <v>565.00000000000011</v>
      </c>
      <c r="H6" s="158">
        <f t="shared" si="1"/>
        <v>570.00000000000011</v>
      </c>
      <c r="I6" s="158">
        <f t="shared" si="1"/>
        <v>575.00000000000011</v>
      </c>
      <c r="J6" s="158">
        <f t="shared" si="1"/>
        <v>580.00000000000011</v>
      </c>
      <c r="K6" s="158">
        <f t="shared" si="1"/>
        <v>585.00000000000011</v>
      </c>
      <c r="L6" s="158">
        <f t="shared" si="1"/>
        <v>590.00000000000011</v>
      </c>
      <c r="M6" s="158">
        <f t="shared" si="1"/>
        <v>595.00000000000011</v>
      </c>
      <c r="N6" s="158">
        <f t="shared" ref="N6:W15" si="2">(base_score*($K$2+N$5)) * $C6</f>
        <v>600.00000000000011</v>
      </c>
      <c r="O6" s="158">
        <f t="shared" si="2"/>
        <v>605</v>
      </c>
      <c r="P6" s="158">
        <f t="shared" si="2"/>
        <v>610</v>
      </c>
      <c r="Q6" s="158">
        <f t="shared" si="2"/>
        <v>615</v>
      </c>
      <c r="R6" s="158">
        <f t="shared" si="2"/>
        <v>620</v>
      </c>
      <c r="S6" s="158">
        <f t="shared" si="2"/>
        <v>625</v>
      </c>
      <c r="T6" s="158">
        <f t="shared" si="2"/>
        <v>630</v>
      </c>
      <c r="U6" s="158">
        <f t="shared" si="2"/>
        <v>635</v>
      </c>
      <c r="V6" s="158">
        <f t="shared" si="2"/>
        <v>640</v>
      </c>
      <c r="W6" s="158">
        <f t="shared" si="2"/>
        <v>645</v>
      </c>
      <c r="X6" s="160">
        <f t="shared" ref="X6:AG15" si="3">(base_score*($K$2+X$5)) * $C6</f>
        <v>650</v>
      </c>
      <c r="Y6" s="158">
        <f t="shared" si="3"/>
        <v>655</v>
      </c>
      <c r="Z6" s="158">
        <f t="shared" si="3"/>
        <v>660</v>
      </c>
      <c r="AA6" s="158">
        <f t="shared" si="3"/>
        <v>665</v>
      </c>
      <c r="AB6" s="158">
        <f t="shared" si="3"/>
        <v>670</v>
      </c>
      <c r="AC6" s="158">
        <f t="shared" si="3"/>
        <v>675</v>
      </c>
      <c r="AD6" s="158">
        <f t="shared" si="3"/>
        <v>680</v>
      </c>
      <c r="AE6" s="158">
        <f t="shared" si="3"/>
        <v>685</v>
      </c>
      <c r="AF6" s="158">
        <f t="shared" si="3"/>
        <v>690</v>
      </c>
      <c r="AG6" s="158">
        <f t="shared" si="3"/>
        <v>695</v>
      </c>
      <c r="AH6" s="158">
        <f t="shared" ref="AH6:AQ15" si="4">(base_score*($K$2+AH$5)) * $C6</f>
        <v>700</v>
      </c>
      <c r="AI6" s="158">
        <f t="shared" si="4"/>
        <v>705</v>
      </c>
      <c r="AJ6" s="158">
        <f t="shared" si="4"/>
        <v>710.00000000000011</v>
      </c>
      <c r="AK6" s="158">
        <f t="shared" si="4"/>
        <v>715.00000000000011</v>
      </c>
      <c r="AL6" s="158">
        <f t="shared" si="4"/>
        <v>720.00000000000011</v>
      </c>
      <c r="AM6" s="158">
        <f t="shared" si="4"/>
        <v>725.00000000000011</v>
      </c>
      <c r="AN6" s="158">
        <f t="shared" si="4"/>
        <v>730.00000000000011</v>
      </c>
      <c r="AO6" s="158">
        <f t="shared" si="4"/>
        <v>735.00000000000011</v>
      </c>
      <c r="AP6" s="158">
        <f t="shared" si="4"/>
        <v>740.00000000000011</v>
      </c>
      <c r="AQ6" s="158">
        <f t="shared" si="4"/>
        <v>745.00000000000011</v>
      </c>
      <c r="AR6" s="158">
        <f t="shared" ref="AR6:BA15" si="5">(base_score*($K$2+AR$5)) * $C6</f>
        <v>750.00000000000011</v>
      </c>
      <c r="AS6" s="158">
        <f t="shared" si="5"/>
        <v>755.00000000000011</v>
      </c>
      <c r="AT6" s="158">
        <f t="shared" si="5"/>
        <v>760.00000000000011</v>
      </c>
      <c r="AU6" s="158">
        <f t="shared" si="5"/>
        <v>765.00000000000011</v>
      </c>
      <c r="AV6" s="158">
        <f t="shared" si="5"/>
        <v>770.00000000000011</v>
      </c>
      <c r="AW6" s="158">
        <f t="shared" si="5"/>
        <v>775.00000000000011</v>
      </c>
      <c r="AX6" s="158">
        <f t="shared" si="5"/>
        <v>780.00000000000011</v>
      </c>
      <c r="AY6" s="158">
        <f t="shared" si="5"/>
        <v>785.00000000000011</v>
      </c>
      <c r="AZ6" s="158">
        <f t="shared" si="5"/>
        <v>790.00000000000011</v>
      </c>
      <c r="BA6" s="158">
        <f t="shared" si="5"/>
        <v>795.00000000000011</v>
      </c>
    </row>
    <row r="7" spans="2:53" x14ac:dyDescent="0.2">
      <c r="B7" s="101">
        <v>2</v>
      </c>
      <c r="C7" s="113">
        <v>6</v>
      </c>
      <c r="D7" s="161">
        <f t="shared" si="1"/>
        <v>660.00000000000011</v>
      </c>
      <c r="E7" s="161">
        <f t="shared" si="1"/>
        <v>666.00000000000011</v>
      </c>
      <c r="F7" s="158">
        <f t="shared" si="1"/>
        <v>672.00000000000011</v>
      </c>
      <c r="G7" s="158">
        <f t="shared" si="1"/>
        <v>678.00000000000011</v>
      </c>
      <c r="H7" s="158">
        <f t="shared" si="1"/>
        <v>684.00000000000011</v>
      </c>
      <c r="I7" s="158">
        <f t="shared" si="1"/>
        <v>690.00000000000011</v>
      </c>
      <c r="J7" s="158">
        <f t="shared" si="1"/>
        <v>696.00000000000011</v>
      </c>
      <c r="K7" s="158">
        <f t="shared" si="1"/>
        <v>702.00000000000011</v>
      </c>
      <c r="L7" s="158">
        <f t="shared" si="1"/>
        <v>708.00000000000011</v>
      </c>
      <c r="M7" s="158">
        <f t="shared" si="1"/>
        <v>714.00000000000011</v>
      </c>
      <c r="N7" s="158">
        <f t="shared" si="2"/>
        <v>720.00000000000011</v>
      </c>
      <c r="O7" s="158">
        <f t="shared" si="2"/>
        <v>726</v>
      </c>
      <c r="P7" s="158">
        <f t="shared" si="2"/>
        <v>732</v>
      </c>
      <c r="Q7" s="158">
        <f t="shared" si="2"/>
        <v>738</v>
      </c>
      <c r="R7" s="158">
        <f t="shared" si="2"/>
        <v>744</v>
      </c>
      <c r="S7" s="158">
        <f t="shared" si="2"/>
        <v>750</v>
      </c>
      <c r="T7" s="158">
        <f t="shared" si="2"/>
        <v>756</v>
      </c>
      <c r="U7" s="158">
        <f t="shared" si="2"/>
        <v>762</v>
      </c>
      <c r="V7" s="158">
        <f t="shared" si="2"/>
        <v>768</v>
      </c>
      <c r="W7" s="158">
        <f t="shared" si="2"/>
        <v>774</v>
      </c>
      <c r="X7" s="158">
        <f t="shared" si="3"/>
        <v>780</v>
      </c>
      <c r="Y7" s="158">
        <f t="shared" si="3"/>
        <v>786</v>
      </c>
      <c r="Z7" s="158">
        <f t="shared" si="3"/>
        <v>792</v>
      </c>
      <c r="AA7" s="158">
        <f t="shared" si="3"/>
        <v>798</v>
      </c>
      <c r="AB7" s="158">
        <f t="shared" si="3"/>
        <v>804</v>
      </c>
      <c r="AC7" s="158">
        <f t="shared" si="3"/>
        <v>810</v>
      </c>
      <c r="AD7" s="158">
        <f t="shared" si="3"/>
        <v>816</v>
      </c>
      <c r="AE7" s="158">
        <f t="shared" si="3"/>
        <v>822</v>
      </c>
      <c r="AF7" s="158">
        <f t="shared" si="3"/>
        <v>828</v>
      </c>
      <c r="AG7" s="158">
        <f t="shared" si="3"/>
        <v>834</v>
      </c>
      <c r="AH7" s="158">
        <f t="shared" si="4"/>
        <v>840</v>
      </c>
      <c r="AI7" s="158">
        <f t="shared" si="4"/>
        <v>846</v>
      </c>
      <c r="AJ7" s="158">
        <f t="shared" si="4"/>
        <v>852.00000000000023</v>
      </c>
      <c r="AK7" s="158">
        <f t="shared" si="4"/>
        <v>858.00000000000023</v>
      </c>
      <c r="AL7" s="158">
        <f t="shared" si="4"/>
        <v>864.00000000000023</v>
      </c>
      <c r="AM7" s="158">
        <f t="shared" si="4"/>
        <v>870.00000000000023</v>
      </c>
      <c r="AN7" s="158">
        <f t="shared" si="4"/>
        <v>876.00000000000023</v>
      </c>
      <c r="AO7" s="158">
        <f t="shared" si="4"/>
        <v>882.00000000000023</v>
      </c>
      <c r="AP7" s="158">
        <f t="shared" si="4"/>
        <v>888.00000000000023</v>
      </c>
      <c r="AQ7" s="158">
        <f t="shared" si="4"/>
        <v>894.00000000000023</v>
      </c>
      <c r="AR7" s="158">
        <f t="shared" si="5"/>
        <v>900.00000000000023</v>
      </c>
      <c r="AS7" s="158">
        <f t="shared" si="5"/>
        <v>906.00000000000023</v>
      </c>
      <c r="AT7" s="158">
        <f t="shared" si="5"/>
        <v>912.00000000000023</v>
      </c>
      <c r="AU7" s="158">
        <f t="shared" si="5"/>
        <v>918.00000000000023</v>
      </c>
      <c r="AV7" s="158">
        <f t="shared" si="5"/>
        <v>924.00000000000023</v>
      </c>
      <c r="AW7" s="158">
        <f t="shared" si="5"/>
        <v>930.00000000000023</v>
      </c>
      <c r="AX7" s="158">
        <f t="shared" si="5"/>
        <v>936.00000000000023</v>
      </c>
      <c r="AY7" s="158">
        <f t="shared" si="5"/>
        <v>942.00000000000023</v>
      </c>
      <c r="AZ7" s="158">
        <f t="shared" si="5"/>
        <v>948.00000000000023</v>
      </c>
      <c r="BA7" s="158">
        <f t="shared" si="5"/>
        <v>954.00000000000023</v>
      </c>
    </row>
    <row r="8" spans="2:53" x14ac:dyDescent="0.2">
      <c r="B8" s="101">
        <v>3</v>
      </c>
      <c r="C8" s="113">
        <v>7</v>
      </c>
      <c r="D8" s="161">
        <f t="shared" si="1"/>
        <v>770.00000000000011</v>
      </c>
      <c r="E8" s="161">
        <f t="shared" si="1"/>
        <v>777.00000000000011</v>
      </c>
      <c r="F8" s="161">
        <f t="shared" si="1"/>
        <v>784.00000000000011</v>
      </c>
      <c r="G8" s="158">
        <f t="shared" si="1"/>
        <v>791.00000000000011</v>
      </c>
      <c r="H8" s="158">
        <f t="shared" si="1"/>
        <v>798.00000000000011</v>
      </c>
      <c r="I8" s="158">
        <f t="shared" si="1"/>
        <v>805.00000000000011</v>
      </c>
      <c r="J8" s="158">
        <f t="shared" si="1"/>
        <v>812.00000000000011</v>
      </c>
      <c r="K8" s="158">
        <f t="shared" si="1"/>
        <v>819.00000000000011</v>
      </c>
      <c r="L8" s="158">
        <f t="shared" si="1"/>
        <v>826.00000000000011</v>
      </c>
      <c r="M8" s="158">
        <f t="shared" si="1"/>
        <v>833.00000000000011</v>
      </c>
      <c r="N8" s="158">
        <f t="shared" si="2"/>
        <v>840.00000000000011</v>
      </c>
      <c r="O8" s="158">
        <f t="shared" si="2"/>
        <v>847</v>
      </c>
      <c r="P8" s="158">
        <f t="shared" si="2"/>
        <v>854</v>
      </c>
      <c r="Q8" s="158">
        <f t="shared" si="2"/>
        <v>861</v>
      </c>
      <c r="R8" s="158">
        <f t="shared" si="2"/>
        <v>868</v>
      </c>
      <c r="S8" s="158">
        <f t="shared" si="2"/>
        <v>875</v>
      </c>
      <c r="T8" s="158">
        <f t="shared" si="2"/>
        <v>882</v>
      </c>
      <c r="U8" s="158">
        <f t="shared" si="2"/>
        <v>889</v>
      </c>
      <c r="V8" s="158">
        <f t="shared" si="2"/>
        <v>896</v>
      </c>
      <c r="W8" s="158">
        <f t="shared" si="2"/>
        <v>903</v>
      </c>
      <c r="X8" s="158">
        <f t="shared" si="3"/>
        <v>910</v>
      </c>
      <c r="Y8" s="158">
        <f t="shared" si="3"/>
        <v>917</v>
      </c>
      <c r="Z8" s="158">
        <f t="shared" si="3"/>
        <v>924</v>
      </c>
      <c r="AA8" s="158">
        <f t="shared" si="3"/>
        <v>931</v>
      </c>
      <c r="AB8" s="158">
        <f t="shared" si="3"/>
        <v>938</v>
      </c>
      <c r="AC8" s="158">
        <f t="shared" si="3"/>
        <v>945</v>
      </c>
      <c r="AD8" s="158">
        <f t="shared" si="3"/>
        <v>952</v>
      </c>
      <c r="AE8" s="158">
        <f t="shared" si="3"/>
        <v>959</v>
      </c>
      <c r="AF8" s="158">
        <f t="shared" si="3"/>
        <v>966</v>
      </c>
      <c r="AG8" s="158">
        <f t="shared" si="3"/>
        <v>973</v>
      </c>
      <c r="AH8" s="158">
        <f t="shared" si="4"/>
        <v>980</v>
      </c>
      <c r="AI8" s="158">
        <f t="shared" si="4"/>
        <v>987</v>
      </c>
      <c r="AJ8" s="158">
        <f t="shared" si="4"/>
        <v>994.00000000000023</v>
      </c>
      <c r="AK8" s="158">
        <f t="shared" si="4"/>
        <v>1001.0000000000002</v>
      </c>
      <c r="AL8" s="158">
        <f t="shared" si="4"/>
        <v>1008.0000000000002</v>
      </c>
      <c r="AM8" s="158">
        <f t="shared" si="4"/>
        <v>1015.0000000000002</v>
      </c>
      <c r="AN8" s="158">
        <f t="shared" si="4"/>
        <v>1022.0000000000002</v>
      </c>
      <c r="AO8" s="158">
        <f t="shared" si="4"/>
        <v>1029.0000000000002</v>
      </c>
      <c r="AP8" s="158">
        <f t="shared" si="4"/>
        <v>1036.0000000000002</v>
      </c>
      <c r="AQ8" s="158">
        <f t="shared" si="4"/>
        <v>1043.0000000000002</v>
      </c>
      <c r="AR8" s="158">
        <f t="shared" si="5"/>
        <v>1050.0000000000002</v>
      </c>
      <c r="AS8" s="158">
        <f t="shared" si="5"/>
        <v>1057.0000000000002</v>
      </c>
      <c r="AT8" s="158">
        <f t="shared" si="5"/>
        <v>1064.0000000000002</v>
      </c>
      <c r="AU8" s="158">
        <f t="shared" si="5"/>
        <v>1071.0000000000002</v>
      </c>
      <c r="AV8" s="158">
        <f t="shared" si="5"/>
        <v>1078.0000000000002</v>
      </c>
      <c r="AW8" s="158">
        <f t="shared" si="5"/>
        <v>1085.0000000000002</v>
      </c>
      <c r="AX8" s="158">
        <f t="shared" si="5"/>
        <v>1092.0000000000002</v>
      </c>
      <c r="AY8" s="158">
        <f t="shared" si="5"/>
        <v>1099.0000000000002</v>
      </c>
      <c r="AZ8" s="158">
        <f t="shared" si="5"/>
        <v>1106.0000000000002</v>
      </c>
      <c r="BA8" s="158">
        <f t="shared" si="5"/>
        <v>1113.0000000000002</v>
      </c>
    </row>
    <row r="9" spans="2:53" x14ac:dyDescent="0.2">
      <c r="B9" s="101">
        <v>4</v>
      </c>
      <c r="C9" s="113">
        <v>8</v>
      </c>
      <c r="D9" s="161">
        <f t="shared" si="1"/>
        <v>880.00000000000011</v>
      </c>
      <c r="E9" s="161">
        <f t="shared" si="1"/>
        <v>888.00000000000011</v>
      </c>
      <c r="F9" s="161">
        <f t="shared" si="1"/>
        <v>896.00000000000011</v>
      </c>
      <c r="G9" s="161">
        <f t="shared" si="1"/>
        <v>904.00000000000011</v>
      </c>
      <c r="H9" s="161">
        <f t="shared" si="1"/>
        <v>912.00000000000011</v>
      </c>
      <c r="I9" s="158">
        <f t="shared" si="1"/>
        <v>920.00000000000011</v>
      </c>
      <c r="J9" s="158">
        <f t="shared" si="1"/>
        <v>928.00000000000011</v>
      </c>
      <c r="K9" s="158">
        <f t="shared" si="1"/>
        <v>936.00000000000011</v>
      </c>
      <c r="L9" s="158">
        <f t="shared" si="1"/>
        <v>944.00000000000011</v>
      </c>
      <c r="M9" s="158">
        <f t="shared" si="1"/>
        <v>952.00000000000011</v>
      </c>
      <c r="N9" s="158">
        <f t="shared" si="2"/>
        <v>960.00000000000011</v>
      </c>
      <c r="O9" s="158">
        <f t="shared" si="2"/>
        <v>968</v>
      </c>
      <c r="P9" s="158">
        <f t="shared" si="2"/>
        <v>976</v>
      </c>
      <c r="Q9" s="158">
        <f t="shared" si="2"/>
        <v>984</v>
      </c>
      <c r="R9" s="158">
        <f t="shared" si="2"/>
        <v>992</v>
      </c>
      <c r="S9" s="158">
        <f t="shared" si="2"/>
        <v>1000</v>
      </c>
      <c r="T9" s="158">
        <f t="shared" si="2"/>
        <v>1008</v>
      </c>
      <c r="U9" s="158">
        <f t="shared" si="2"/>
        <v>1016</v>
      </c>
      <c r="V9" s="158">
        <f t="shared" si="2"/>
        <v>1024</v>
      </c>
      <c r="W9" s="158">
        <f t="shared" si="2"/>
        <v>1032</v>
      </c>
      <c r="X9" s="158">
        <f t="shared" si="3"/>
        <v>1040</v>
      </c>
      <c r="Y9" s="158">
        <f t="shared" si="3"/>
        <v>1048</v>
      </c>
      <c r="Z9" s="158">
        <f t="shared" si="3"/>
        <v>1056</v>
      </c>
      <c r="AA9" s="158">
        <f t="shared" si="3"/>
        <v>1064</v>
      </c>
      <c r="AB9" s="158">
        <f t="shared" si="3"/>
        <v>1072</v>
      </c>
      <c r="AC9" s="158">
        <f t="shared" si="3"/>
        <v>1080</v>
      </c>
      <c r="AD9" s="158">
        <f t="shared" si="3"/>
        <v>1088</v>
      </c>
      <c r="AE9" s="158">
        <f t="shared" si="3"/>
        <v>1096</v>
      </c>
      <c r="AF9" s="158">
        <f t="shared" si="3"/>
        <v>1104</v>
      </c>
      <c r="AG9" s="158">
        <f t="shared" si="3"/>
        <v>1112</v>
      </c>
      <c r="AH9" s="158">
        <f t="shared" si="4"/>
        <v>1120</v>
      </c>
      <c r="AI9" s="158">
        <f t="shared" si="4"/>
        <v>1128</v>
      </c>
      <c r="AJ9" s="158">
        <f t="shared" si="4"/>
        <v>1136.0000000000002</v>
      </c>
      <c r="AK9" s="158">
        <f t="shared" si="4"/>
        <v>1144.0000000000002</v>
      </c>
      <c r="AL9" s="158">
        <f t="shared" si="4"/>
        <v>1152.0000000000002</v>
      </c>
      <c r="AM9" s="158">
        <f t="shared" si="4"/>
        <v>1160.0000000000002</v>
      </c>
      <c r="AN9" s="158">
        <f t="shared" si="4"/>
        <v>1168.0000000000002</v>
      </c>
      <c r="AO9" s="158">
        <f t="shared" si="4"/>
        <v>1176.0000000000002</v>
      </c>
      <c r="AP9" s="158">
        <f t="shared" si="4"/>
        <v>1184.0000000000002</v>
      </c>
      <c r="AQ9" s="158">
        <f t="shared" si="4"/>
        <v>1192.0000000000002</v>
      </c>
      <c r="AR9" s="158">
        <f t="shared" si="5"/>
        <v>1200.0000000000002</v>
      </c>
      <c r="AS9" s="158">
        <f t="shared" si="5"/>
        <v>1208.0000000000002</v>
      </c>
      <c r="AT9" s="158">
        <f t="shared" si="5"/>
        <v>1216.0000000000002</v>
      </c>
      <c r="AU9" s="158">
        <f t="shared" si="5"/>
        <v>1224.0000000000002</v>
      </c>
      <c r="AV9" s="158">
        <f t="shared" si="5"/>
        <v>1232.0000000000002</v>
      </c>
      <c r="AW9" s="158">
        <f t="shared" si="5"/>
        <v>1240.0000000000002</v>
      </c>
      <c r="AX9" s="158">
        <f t="shared" si="5"/>
        <v>1248.0000000000002</v>
      </c>
      <c r="AY9" s="158">
        <f t="shared" si="5"/>
        <v>1256.0000000000002</v>
      </c>
      <c r="AZ9" s="158">
        <f t="shared" si="5"/>
        <v>1264.0000000000002</v>
      </c>
      <c r="BA9" s="158">
        <f t="shared" si="5"/>
        <v>1272.0000000000002</v>
      </c>
    </row>
    <row r="10" spans="2:53" x14ac:dyDescent="0.2">
      <c r="B10" s="101">
        <v>5</v>
      </c>
      <c r="C10" s="113">
        <v>9</v>
      </c>
      <c r="D10" s="161">
        <f t="shared" si="1"/>
        <v>990.00000000000011</v>
      </c>
      <c r="E10" s="161">
        <f t="shared" si="1"/>
        <v>999.00000000000011</v>
      </c>
      <c r="F10" s="161">
        <f t="shared" si="1"/>
        <v>1008.0000000000001</v>
      </c>
      <c r="G10" s="161">
        <f t="shared" si="1"/>
        <v>1017.0000000000001</v>
      </c>
      <c r="H10" s="161">
        <f t="shared" si="1"/>
        <v>1026.0000000000002</v>
      </c>
      <c r="I10" s="161">
        <f t="shared" si="1"/>
        <v>1035.0000000000002</v>
      </c>
      <c r="J10" s="158">
        <f t="shared" si="1"/>
        <v>1044.0000000000002</v>
      </c>
      <c r="K10" s="158">
        <f t="shared" si="1"/>
        <v>1053.0000000000002</v>
      </c>
      <c r="L10" s="158">
        <f t="shared" si="1"/>
        <v>1062.0000000000002</v>
      </c>
      <c r="M10" s="158">
        <f t="shared" si="1"/>
        <v>1071.0000000000002</v>
      </c>
      <c r="N10" s="158">
        <f t="shared" si="2"/>
        <v>1080.0000000000002</v>
      </c>
      <c r="O10" s="158">
        <f t="shared" si="2"/>
        <v>1089</v>
      </c>
      <c r="P10" s="158">
        <f t="shared" si="2"/>
        <v>1098</v>
      </c>
      <c r="Q10" s="158">
        <f t="shared" si="2"/>
        <v>1107</v>
      </c>
      <c r="R10" s="158">
        <f t="shared" si="2"/>
        <v>1116</v>
      </c>
      <c r="S10" s="158">
        <f t="shared" si="2"/>
        <v>1125</v>
      </c>
      <c r="T10" s="158">
        <f t="shared" si="2"/>
        <v>1134</v>
      </c>
      <c r="U10" s="158">
        <f t="shared" si="2"/>
        <v>1143</v>
      </c>
      <c r="V10" s="158">
        <f t="shared" si="2"/>
        <v>1152</v>
      </c>
      <c r="W10" s="158">
        <f t="shared" si="2"/>
        <v>1161</v>
      </c>
      <c r="X10" s="158">
        <f t="shared" si="3"/>
        <v>1170</v>
      </c>
      <c r="Y10" s="158">
        <f t="shared" si="3"/>
        <v>1179</v>
      </c>
      <c r="Z10" s="158">
        <f t="shared" si="3"/>
        <v>1188</v>
      </c>
      <c r="AA10" s="158">
        <f t="shared" si="3"/>
        <v>1197</v>
      </c>
      <c r="AB10" s="158">
        <f t="shared" si="3"/>
        <v>1206</v>
      </c>
      <c r="AC10" s="158">
        <f t="shared" si="3"/>
        <v>1215</v>
      </c>
      <c r="AD10" s="158">
        <f t="shared" si="3"/>
        <v>1224</v>
      </c>
      <c r="AE10" s="158">
        <f t="shared" si="3"/>
        <v>1233</v>
      </c>
      <c r="AF10" s="158">
        <f t="shared" si="3"/>
        <v>1242</v>
      </c>
      <c r="AG10" s="158">
        <f t="shared" si="3"/>
        <v>1251</v>
      </c>
      <c r="AH10" s="158">
        <f t="shared" si="4"/>
        <v>1260</v>
      </c>
      <c r="AI10" s="158">
        <f t="shared" si="4"/>
        <v>1269</v>
      </c>
      <c r="AJ10" s="158">
        <f t="shared" si="4"/>
        <v>1278.0000000000002</v>
      </c>
      <c r="AK10" s="158">
        <f t="shared" si="4"/>
        <v>1287.0000000000002</v>
      </c>
      <c r="AL10" s="158">
        <f t="shared" si="4"/>
        <v>1296.0000000000002</v>
      </c>
      <c r="AM10" s="158">
        <f t="shared" si="4"/>
        <v>1305.0000000000002</v>
      </c>
      <c r="AN10" s="158">
        <f t="shared" si="4"/>
        <v>1314.0000000000002</v>
      </c>
      <c r="AO10" s="158">
        <f t="shared" si="4"/>
        <v>1323.0000000000002</v>
      </c>
      <c r="AP10" s="158">
        <f t="shared" si="4"/>
        <v>1332.0000000000002</v>
      </c>
      <c r="AQ10" s="158">
        <f t="shared" si="4"/>
        <v>1341.0000000000002</v>
      </c>
      <c r="AR10" s="158">
        <f t="shared" si="5"/>
        <v>1350.0000000000002</v>
      </c>
      <c r="AS10" s="158">
        <f t="shared" si="5"/>
        <v>1359.0000000000002</v>
      </c>
      <c r="AT10" s="158">
        <f t="shared" si="5"/>
        <v>1368.0000000000002</v>
      </c>
      <c r="AU10" s="158">
        <f t="shared" si="5"/>
        <v>1377.0000000000002</v>
      </c>
      <c r="AV10" s="158">
        <f t="shared" si="5"/>
        <v>1386.0000000000002</v>
      </c>
      <c r="AW10" s="158">
        <f t="shared" si="5"/>
        <v>1395.0000000000002</v>
      </c>
      <c r="AX10" s="158">
        <f t="shared" si="5"/>
        <v>1404.0000000000002</v>
      </c>
      <c r="AY10" s="158">
        <f t="shared" si="5"/>
        <v>1413.0000000000002</v>
      </c>
      <c r="AZ10" s="158">
        <f t="shared" si="5"/>
        <v>1422.0000000000002</v>
      </c>
      <c r="BA10" s="158">
        <f t="shared" si="5"/>
        <v>1431.0000000000002</v>
      </c>
    </row>
    <row r="11" spans="2:53" x14ac:dyDescent="0.2">
      <c r="B11" s="101">
        <v>6</v>
      </c>
      <c r="C11" s="113">
        <v>10</v>
      </c>
      <c r="D11" s="161">
        <f t="shared" si="1"/>
        <v>1100.0000000000002</v>
      </c>
      <c r="E11" s="161">
        <f t="shared" si="1"/>
        <v>1110.0000000000002</v>
      </c>
      <c r="F11" s="161">
        <f t="shared" si="1"/>
        <v>1120.0000000000002</v>
      </c>
      <c r="G11" s="161">
        <f t="shared" si="1"/>
        <v>1130.0000000000002</v>
      </c>
      <c r="H11" s="161">
        <f t="shared" si="1"/>
        <v>1140.0000000000002</v>
      </c>
      <c r="I11" s="161">
        <f t="shared" si="1"/>
        <v>1150.0000000000002</v>
      </c>
      <c r="J11" s="161">
        <f t="shared" si="1"/>
        <v>1160.0000000000002</v>
      </c>
      <c r="K11" s="161">
        <f t="shared" si="1"/>
        <v>1170.0000000000002</v>
      </c>
      <c r="L11" s="158">
        <f t="shared" si="1"/>
        <v>1180.0000000000002</v>
      </c>
      <c r="M11" s="158">
        <f t="shared" si="1"/>
        <v>1190.0000000000002</v>
      </c>
      <c r="N11" s="158">
        <f t="shared" si="2"/>
        <v>1200.0000000000002</v>
      </c>
      <c r="O11" s="158">
        <f t="shared" si="2"/>
        <v>1210</v>
      </c>
      <c r="P11" s="158">
        <f t="shared" si="2"/>
        <v>1220</v>
      </c>
      <c r="Q11" s="158">
        <f t="shared" si="2"/>
        <v>1230</v>
      </c>
      <c r="R11" s="158">
        <f t="shared" si="2"/>
        <v>1240</v>
      </c>
      <c r="S11" s="158">
        <f t="shared" si="2"/>
        <v>1250</v>
      </c>
      <c r="T11" s="158">
        <f t="shared" si="2"/>
        <v>1260</v>
      </c>
      <c r="U11" s="158">
        <f t="shared" si="2"/>
        <v>1270</v>
      </c>
      <c r="V11" s="158">
        <f t="shared" si="2"/>
        <v>1280</v>
      </c>
      <c r="W11" s="158">
        <f t="shared" si="2"/>
        <v>1290</v>
      </c>
      <c r="X11" s="158">
        <f t="shared" si="3"/>
        <v>1300</v>
      </c>
      <c r="Y11" s="158">
        <f t="shared" si="3"/>
        <v>1310</v>
      </c>
      <c r="Z11" s="158">
        <f t="shared" si="3"/>
        <v>1320</v>
      </c>
      <c r="AA11" s="158">
        <f t="shared" si="3"/>
        <v>1330</v>
      </c>
      <c r="AB11" s="158">
        <f t="shared" si="3"/>
        <v>1340</v>
      </c>
      <c r="AC11" s="158">
        <f t="shared" si="3"/>
        <v>1350</v>
      </c>
      <c r="AD11" s="158">
        <f t="shared" si="3"/>
        <v>1360</v>
      </c>
      <c r="AE11" s="158">
        <f t="shared" si="3"/>
        <v>1370</v>
      </c>
      <c r="AF11" s="158">
        <f t="shared" si="3"/>
        <v>1380</v>
      </c>
      <c r="AG11" s="158">
        <f t="shared" si="3"/>
        <v>1390</v>
      </c>
      <c r="AH11" s="158">
        <f t="shared" si="4"/>
        <v>1400</v>
      </c>
      <c r="AI11" s="158">
        <f t="shared" si="4"/>
        <v>1410</v>
      </c>
      <c r="AJ11" s="158">
        <f t="shared" si="4"/>
        <v>1420.0000000000002</v>
      </c>
      <c r="AK11" s="158">
        <f t="shared" si="4"/>
        <v>1430.0000000000002</v>
      </c>
      <c r="AL11" s="158">
        <f t="shared" si="4"/>
        <v>1440.0000000000002</v>
      </c>
      <c r="AM11" s="158">
        <f t="shared" si="4"/>
        <v>1450.0000000000002</v>
      </c>
      <c r="AN11" s="158">
        <f t="shared" si="4"/>
        <v>1460.0000000000002</v>
      </c>
      <c r="AO11" s="158">
        <f t="shared" si="4"/>
        <v>1470.0000000000002</v>
      </c>
      <c r="AP11" s="158">
        <f t="shared" si="4"/>
        <v>1480.0000000000002</v>
      </c>
      <c r="AQ11" s="158">
        <f t="shared" si="4"/>
        <v>1490.0000000000002</v>
      </c>
      <c r="AR11" s="158">
        <f t="shared" si="5"/>
        <v>1500.0000000000002</v>
      </c>
      <c r="AS11" s="158">
        <f t="shared" si="5"/>
        <v>1510.0000000000002</v>
      </c>
      <c r="AT11" s="158">
        <f t="shared" si="5"/>
        <v>1520.0000000000002</v>
      </c>
      <c r="AU11" s="158">
        <f t="shared" si="5"/>
        <v>1530.0000000000002</v>
      </c>
      <c r="AV11" s="158">
        <f t="shared" si="5"/>
        <v>1540.0000000000002</v>
      </c>
      <c r="AW11" s="158">
        <f t="shared" si="5"/>
        <v>1550.0000000000002</v>
      </c>
      <c r="AX11" s="158">
        <f t="shared" si="5"/>
        <v>1560.0000000000002</v>
      </c>
      <c r="AY11" s="158">
        <f t="shared" si="5"/>
        <v>1570.0000000000002</v>
      </c>
      <c r="AZ11" s="158">
        <f t="shared" si="5"/>
        <v>1580.0000000000002</v>
      </c>
      <c r="BA11" s="158">
        <f t="shared" si="5"/>
        <v>1590.0000000000002</v>
      </c>
    </row>
    <row r="12" spans="2:53" x14ac:dyDescent="0.2">
      <c r="B12" s="101">
        <v>7</v>
      </c>
      <c r="C12" s="113">
        <v>11</v>
      </c>
      <c r="D12" s="161">
        <f t="shared" si="1"/>
        <v>1210.0000000000002</v>
      </c>
      <c r="E12" s="161">
        <f t="shared" si="1"/>
        <v>1221.0000000000002</v>
      </c>
      <c r="F12" s="161">
        <f t="shared" si="1"/>
        <v>1232.0000000000002</v>
      </c>
      <c r="G12" s="161">
        <f t="shared" si="1"/>
        <v>1243.0000000000002</v>
      </c>
      <c r="H12" s="161">
        <f t="shared" si="1"/>
        <v>1254.0000000000002</v>
      </c>
      <c r="I12" s="161">
        <f t="shared" si="1"/>
        <v>1265.0000000000002</v>
      </c>
      <c r="J12" s="161">
        <f t="shared" si="1"/>
        <v>1276.0000000000002</v>
      </c>
      <c r="K12" s="161">
        <f t="shared" si="1"/>
        <v>1287.0000000000002</v>
      </c>
      <c r="L12" s="161">
        <f t="shared" si="1"/>
        <v>1298.0000000000002</v>
      </c>
      <c r="M12" s="160">
        <f t="shared" si="1"/>
        <v>1309.0000000000002</v>
      </c>
      <c r="N12" s="158">
        <f t="shared" si="2"/>
        <v>1320.0000000000002</v>
      </c>
      <c r="O12" s="158">
        <f t="shared" si="2"/>
        <v>1331</v>
      </c>
      <c r="P12" s="158">
        <f t="shared" si="2"/>
        <v>1342</v>
      </c>
      <c r="Q12" s="158">
        <f t="shared" si="2"/>
        <v>1353</v>
      </c>
      <c r="R12" s="158">
        <f t="shared" si="2"/>
        <v>1364</v>
      </c>
      <c r="S12" s="158">
        <f t="shared" si="2"/>
        <v>1375</v>
      </c>
      <c r="T12" s="158">
        <f t="shared" si="2"/>
        <v>1386</v>
      </c>
      <c r="U12" s="158">
        <f t="shared" si="2"/>
        <v>1397</v>
      </c>
      <c r="V12" s="158">
        <f t="shared" si="2"/>
        <v>1408</v>
      </c>
      <c r="W12" s="158">
        <f t="shared" si="2"/>
        <v>1419</v>
      </c>
      <c r="X12" s="158">
        <f t="shared" si="3"/>
        <v>1430</v>
      </c>
      <c r="Y12" s="158">
        <f t="shared" si="3"/>
        <v>1441</v>
      </c>
      <c r="Z12" s="158">
        <f t="shared" si="3"/>
        <v>1452</v>
      </c>
      <c r="AA12" s="158">
        <f t="shared" si="3"/>
        <v>1463</v>
      </c>
      <c r="AB12" s="158">
        <f t="shared" si="3"/>
        <v>1474</v>
      </c>
      <c r="AC12" s="158">
        <f t="shared" si="3"/>
        <v>1485</v>
      </c>
      <c r="AD12" s="158">
        <f t="shared" si="3"/>
        <v>1496</v>
      </c>
      <c r="AE12" s="158">
        <f t="shared" si="3"/>
        <v>1507</v>
      </c>
      <c r="AF12" s="158">
        <f t="shared" si="3"/>
        <v>1518</v>
      </c>
      <c r="AG12" s="158">
        <f t="shared" si="3"/>
        <v>1529</v>
      </c>
      <c r="AH12" s="158">
        <f t="shared" si="4"/>
        <v>1540</v>
      </c>
      <c r="AI12" s="158">
        <f t="shared" si="4"/>
        <v>1551</v>
      </c>
      <c r="AJ12" s="158">
        <f t="shared" si="4"/>
        <v>1562.0000000000002</v>
      </c>
      <c r="AK12" s="158">
        <f t="shared" si="4"/>
        <v>1573.0000000000002</v>
      </c>
      <c r="AL12" s="158">
        <f t="shared" si="4"/>
        <v>1584.0000000000002</v>
      </c>
      <c r="AM12" s="158">
        <f t="shared" si="4"/>
        <v>1595.0000000000002</v>
      </c>
      <c r="AN12" s="158">
        <f t="shared" si="4"/>
        <v>1606.0000000000002</v>
      </c>
      <c r="AO12" s="158">
        <f t="shared" si="4"/>
        <v>1617.0000000000002</v>
      </c>
      <c r="AP12" s="158">
        <f t="shared" si="4"/>
        <v>1628.0000000000002</v>
      </c>
      <c r="AQ12" s="158">
        <f t="shared" si="4"/>
        <v>1639.0000000000002</v>
      </c>
      <c r="AR12" s="158">
        <f t="shared" si="5"/>
        <v>1650.0000000000002</v>
      </c>
      <c r="AS12" s="158">
        <f t="shared" si="5"/>
        <v>1661.0000000000002</v>
      </c>
      <c r="AT12" s="158">
        <f t="shared" si="5"/>
        <v>1672.0000000000002</v>
      </c>
      <c r="AU12" s="158">
        <f t="shared" si="5"/>
        <v>1683.0000000000002</v>
      </c>
      <c r="AV12" s="158">
        <f t="shared" si="5"/>
        <v>1694.0000000000002</v>
      </c>
      <c r="AW12" s="158">
        <f t="shared" si="5"/>
        <v>1705.0000000000002</v>
      </c>
      <c r="AX12" s="158">
        <f t="shared" si="5"/>
        <v>1716.0000000000002</v>
      </c>
      <c r="AY12" s="158">
        <f t="shared" si="5"/>
        <v>1727.0000000000002</v>
      </c>
      <c r="AZ12" s="158">
        <f t="shared" si="5"/>
        <v>1738.0000000000002</v>
      </c>
      <c r="BA12" s="158">
        <f t="shared" si="5"/>
        <v>1749.0000000000002</v>
      </c>
    </row>
    <row r="13" spans="2:53" x14ac:dyDescent="0.2">
      <c r="B13" s="101">
        <v>8</v>
      </c>
      <c r="C13" s="113">
        <v>12</v>
      </c>
      <c r="D13" s="161">
        <f t="shared" si="1"/>
        <v>1320.0000000000002</v>
      </c>
      <c r="E13" s="161">
        <f t="shared" si="1"/>
        <v>1332.0000000000002</v>
      </c>
      <c r="F13" s="161">
        <f t="shared" si="1"/>
        <v>1344.0000000000002</v>
      </c>
      <c r="G13" s="161">
        <f t="shared" si="1"/>
        <v>1356.0000000000002</v>
      </c>
      <c r="H13" s="161">
        <f t="shared" si="1"/>
        <v>1368.0000000000002</v>
      </c>
      <c r="I13" s="161">
        <f t="shared" si="1"/>
        <v>1380.0000000000002</v>
      </c>
      <c r="J13" s="161">
        <f t="shared" si="1"/>
        <v>1392.0000000000002</v>
      </c>
      <c r="K13" s="161">
        <f t="shared" si="1"/>
        <v>1404.0000000000002</v>
      </c>
      <c r="L13" s="161">
        <f t="shared" si="1"/>
        <v>1416.0000000000002</v>
      </c>
      <c r="M13" s="161">
        <f t="shared" si="1"/>
        <v>1428.0000000000002</v>
      </c>
      <c r="N13" s="161">
        <f t="shared" si="2"/>
        <v>1440.0000000000002</v>
      </c>
      <c r="O13" s="158">
        <f t="shared" si="2"/>
        <v>1452</v>
      </c>
      <c r="P13" s="158">
        <f t="shared" si="2"/>
        <v>1464</v>
      </c>
      <c r="Q13" s="158">
        <f t="shared" si="2"/>
        <v>1476</v>
      </c>
      <c r="R13" s="158">
        <f t="shared" si="2"/>
        <v>1488</v>
      </c>
      <c r="S13" s="158">
        <f t="shared" si="2"/>
        <v>1500</v>
      </c>
      <c r="T13" s="158">
        <f t="shared" si="2"/>
        <v>1512</v>
      </c>
      <c r="U13" s="158">
        <f t="shared" si="2"/>
        <v>1524</v>
      </c>
      <c r="V13" s="158">
        <f t="shared" si="2"/>
        <v>1536</v>
      </c>
      <c r="W13" s="158">
        <f t="shared" si="2"/>
        <v>1548</v>
      </c>
      <c r="X13" s="158">
        <f t="shared" si="3"/>
        <v>1560</v>
      </c>
      <c r="Y13" s="158">
        <f t="shared" si="3"/>
        <v>1572</v>
      </c>
      <c r="Z13" s="158">
        <f t="shared" si="3"/>
        <v>1584</v>
      </c>
      <c r="AA13" s="158">
        <f t="shared" si="3"/>
        <v>1596</v>
      </c>
      <c r="AB13" s="158">
        <f t="shared" si="3"/>
        <v>1608</v>
      </c>
      <c r="AC13" s="158">
        <f t="shared" si="3"/>
        <v>1620</v>
      </c>
      <c r="AD13" s="158">
        <f t="shared" si="3"/>
        <v>1632</v>
      </c>
      <c r="AE13" s="158">
        <f t="shared" si="3"/>
        <v>1644</v>
      </c>
      <c r="AF13" s="158">
        <f t="shared" si="3"/>
        <v>1656</v>
      </c>
      <c r="AG13" s="158">
        <f t="shared" si="3"/>
        <v>1668</v>
      </c>
      <c r="AH13" s="158">
        <f t="shared" si="4"/>
        <v>1680</v>
      </c>
      <c r="AI13" s="158">
        <f t="shared" si="4"/>
        <v>1692</v>
      </c>
      <c r="AJ13" s="158">
        <f t="shared" si="4"/>
        <v>1704.0000000000005</v>
      </c>
      <c r="AK13" s="158">
        <f t="shared" si="4"/>
        <v>1716.0000000000005</v>
      </c>
      <c r="AL13" s="158">
        <f t="shared" si="4"/>
        <v>1728.0000000000005</v>
      </c>
      <c r="AM13" s="158">
        <f t="shared" si="4"/>
        <v>1740.0000000000005</v>
      </c>
      <c r="AN13" s="158">
        <f t="shared" si="4"/>
        <v>1752.0000000000005</v>
      </c>
      <c r="AO13" s="158">
        <f t="shared" si="4"/>
        <v>1764.0000000000005</v>
      </c>
      <c r="AP13" s="158">
        <f t="shared" si="4"/>
        <v>1776.0000000000005</v>
      </c>
      <c r="AQ13" s="158">
        <f t="shared" si="4"/>
        <v>1788.0000000000005</v>
      </c>
      <c r="AR13" s="158">
        <f t="shared" si="5"/>
        <v>1800.0000000000005</v>
      </c>
      <c r="AS13" s="158">
        <f t="shared" si="5"/>
        <v>1812.0000000000005</v>
      </c>
      <c r="AT13" s="158">
        <f t="shared" si="5"/>
        <v>1824.0000000000005</v>
      </c>
      <c r="AU13" s="158">
        <f t="shared" si="5"/>
        <v>1836.0000000000005</v>
      </c>
      <c r="AV13" s="158">
        <f t="shared" si="5"/>
        <v>1848.0000000000005</v>
      </c>
      <c r="AW13" s="158">
        <f t="shared" si="5"/>
        <v>1860.0000000000005</v>
      </c>
      <c r="AX13" s="158">
        <f t="shared" si="5"/>
        <v>1872.0000000000005</v>
      </c>
      <c r="AY13" s="158">
        <f t="shared" si="5"/>
        <v>1884.0000000000005</v>
      </c>
      <c r="AZ13" s="158">
        <f t="shared" si="5"/>
        <v>1896.0000000000005</v>
      </c>
      <c r="BA13" s="158">
        <f t="shared" si="5"/>
        <v>1908.0000000000005</v>
      </c>
    </row>
    <row r="14" spans="2:53" x14ac:dyDescent="0.2">
      <c r="B14" s="101">
        <v>9</v>
      </c>
      <c r="C14" s="113">
        <v>13</v>
      </c>
      <c r="D14" s="161">
        <f t="shared" si="1"/>
        <v>1430.0000000000002</v>
      </c>
      <c r="E14" s="161">
        <f t="shared" si="1"/>
        <v>1443.0000000000002</v>
      </c>
      <c r="F14" s="161">
        <f t="shared" si="1"/>
        <v>1456.0000000000002</v>
      </c>
      <c r="G14" s="161">
        <f t="shared" si="1"/>
        <v>1469.0000000000002</v>
      </c>
      <c r="H14" s="161">
        <f t="shared" si="1"/>
        <v>1482.0000000000002</v>
      </c>
      <c r="I14" s="161">
        <f t="shared" si="1"/>
        <v>1495.0000000000002</v>
      </c>
      <c r="J14" s="161">
        <f t="shared" si="1"/>
        <v>1508.0000000000002</v>
      </c>
      <c r="K14" s="161">
        <f t="shared" si="1"/>
        <v>1521.0000000000002</v>
      </c>
      <c r="L14" s="161">
        <f t="shared" si="1"/>
        <v>1534.0000000000002</v>
      </c>
      <c r="M14" s="161">
        <f t="shared" si="1"/>
        <v>1547.0000000000002</v>
      </c>
      <c r="N14" s="161">
        <f t="shared" si="2"/>
        <v>1560.0000000000002</v>
      </c>
      <c r="O14" s="161">
        <f t="shared" si="2"/>
        <v>1573</v>
      </c>
      <c r="P14" s="162">
        <f t="shared" si="2"/>
        <v>1586</v>
      </c>
      <c r="Q14" s="158">
        <f t="shared" si="2"/>
        <v>1599</v>
      </c>
      <c r="R14" s="158">
        <f t="shared" si="2"/>
        <v>1612</v>
      </c>
      <c r="S14" s="158">
        <f t="shared" si="2"/>
        <v>1625</v>
      </c>
      <c r="T14" s="158">
        <f t="shared" si="2"/>
        <v>1638</v>
      </c>
      <c r="U14" s="158">
        <f t="shared" si="2"/>
        <v>1651</v>
      </c>
      <c r="V14" s="158">
        <f t="shared" si="2"/>
        <v>1664</v>
      </c>
      <c r="W14" s="158">
        <f t="shared" si="2"/>
        <v>1677</v>
      </c>
      <c r="X14" s="158">
        <f t="shared" si="3"/>
        <v>1690</v>
      </c>
      <c r="Y14" s="158">
        <f t="shared" si="3"/>
        <v>1703</v>
      </c>
      <c r="Z14" s="158">
        <f t="shared" si="3"/>
        <v>1716</v>
      </c>
      <c r="AA14" s="158">
        <f t="shared" si="3"/>
        <v>1729</v>
      </c>
      <c r="AB14" s="158">
        <f t="shared" si="3"/>
        <v>1742</v>
      </c>
      <c r="AC14" s="158">
        <f t="shared" si="3"/>
        <v>1755</v>
      </c>
      <c r="AD14" s="158">
        <f t="shared" si="3"/>
        <v>1768</v>
      </c>
      <c r="AE14" s="158">
        <f t="shared" si="3"/>
        <v>1781</v>
      </c>
      <c r="AF14" s="158">
        <f t="shared" si="3"/>
        <v>1794</v>
      </c>
      <c r="AG14" s="158">
        <f t="shared" si="3"/>
        <v>1807</v>
      </c>
      <c r="AH14" s="158">
        <f t="shared" si="4"/>
        <v>1820</v>
      </c>
      <c r="AI14" s="158">
        <f t="shared" si="4"/>
        <v>1833</v>
      </c>
      <c r="AJ14" s="158">
        <f t="shared" si="4"/>
        <v>1846.0000000000005</v>
      </c>
      <c r="AK14" s="158">
        <f t="shared" si="4"/>
        <v>1859.0000000000005</v>
      </c>
      <c r="AL14" s="158">
        <f t="shared" si="4"/>
        <v>1872.0000000000005</v>
      </c>
      <c r="AM14" s="158">
        <f t="shared" si="4"/>
        <v>1885.0000000000005</v>
      </c>
      <c r="AN14" s="158">
        <f t="shared" si="4"/>
        <v>1898.0000000000005</v>
      </c>
      <c r="AO14" s="158">
        <f t="shared" si="4"/>
        <v>1911.0000000000005</v>
      </c>
      <c r="AP14" s="158">
        <f t="shared" si="4"/>
        <v>1924.0000000000005</v>
      </c>
      <c r="AQ14" s="158">
        <f t="shared" si="4"/>
        <v>1937.0000000000005</v>
      </c>
      <c r="AR14" s="158">
        <f t="shared" si="5"/>
        <v>1950.0000000000005</v>
      </c>
      <c r="AS14" s="158">
        <f t="shared" si="5"/>
        <v>1963.0000000000005</v>
      </c>
      <c r="AT14" s="158">
        <f t="shared" si="5"/>
        <v>1976.0000000000005</v>
      </c>
      <c r="AU14" s="158">
        <f t="shared" si="5"/>
        <v>1989.0000000000005</v>
      </c>
      <c r="AV14" s="158">
        <f t="shared" si="5"/>
        <v>2002.0000000000005</v>
      </c>
      <c r="AW14" s="158">
        <f t="shared" si="5"/>
        <v>2015.0000000000005</v>
      </c>
      <c r="AX14" s="158">
        <f t="shared" si="5"/>
        <v>2028.0000000000005</v>
      </c>
      <c r="AY14" s="158">
        <f t="shared" si="5"/>
        <v>2041.0000000000005</v>
      </c>
      <c r="AZ14" s="158">
        <f t="shared" si="5"/>
        <v>2054.0000000000005</v>
      </c>
      <c r="BA14" s="158">
        <f t="shared" si="5"/>
        <v>2067.0000000000005</v>
      </c>
    </row>
    <row r="15" spans="2:53" x14ac:dyDescent="0.2">
      <c r="B15" s="101">
        <v>10</v>
      </c>
      <c r="C15" s="113">
        <v>14</v>
      </c>
      <c r="D15" s="161">
        <f t="shared" si="1"/>
        <v>1540.0000000000002</v>
      </c>
      <c r="E15" s="161">
        <f t="shared" si="1"/>
        <v>1554.0000000000002</v>
      </c>
      <c r="F15" s="161">
        <f t="shared" si="1"/>
        <v>1568.0000000000002</v>
      </c>
      <c r="G15" s="161">
        <f t="shared" si="1"/>
        <v>1582.0000000000002</v>
      </c>
      <c r="H15" s="161">
        <f t="shared" si="1"/>
        <v>1596.0000000000002</v>
      </c>
      <c r="I15" s="161">
        <f t="shared" si="1"/>
        <v>1610.0000000000002</v>
      </c>
      <c r="J15" s="161">
        <f t="shared" si="1"/>
        <v>1624.0000000000002</v>
      </c>
      <c r="K15" s="161">
        <f t="shared" si="1"/>
        <v>1638.0000000000002</v>
      </c>
      <c r="L15" s="161">
        <f t="shared" si="1"/>
        <v>1652.0000000000002</v>
      </c>
      <c r="M15" s="161">
        <f t="shared" si="1"/>
        <v>1666.0000000000002</v>
      </c>
      <c r="N15" s="161">
        <f t="shared" si="2"/>
        <v>1680.0000000000002</v>
      </c>
      <c r="O15" s="161">
        <f t="shared" si="2"/>
        <v>1694</v>
      </c>
      <c r="P15" s="161">
        <f t="shared" si="2"/>
        <v>1708</v>
      </c>
      <c r="Q15" s="161">
        <f t="shared" si="2"/>
        <v>1722</v>
      </c>
      <c r="R15" s="158">
        <f t="shared" si="2"/>
        <v>1736</v>
      </c>
      <c r="S15" s="158">
        <f t="shared" si="2"/>
        <v>1750</v>
      </c>
      <c r="T15" s="158">
        <f t="shared" si="2"/>
        <v>1764</v>
      </c>
      <c r="U15" s="158">
        <f t="shared" si="2"/>
        <v>1778</v>
      </c>
      <c r="V15" s="158">
        <f t="shared" si="2"/>
        <v>1792</v>
      </c>
      <c r="W15" s="158">
        <f t="shared" si="2"/>
        <v>1806</v>
      </c>
      <c r="X15" s="158">
        <f t="shared" si="3"/>
        <v>1820</v>
      </c>
      <c r="Y15" s="158">
        <f t="shared" si="3"/>
        <v>1834</v>
      </c>
      <c r="Z15" s="158">
        <f t="shared" si="3"/>
        <v>1848</v>
      </c>
      <c r="AA15" s="158">
        <f t="shared" si="3"/>
        <v>1862</v>
      </c>
      <c r="AB15" s="158">
        <f t="shared" si="3"/>
        <v>1876</v>
      </c>
      <c r="AC15" s="158">
        <f t="shared" si="3"/>
        <v>1890</v>
      </c>
      <c r="AD15" s="158">
        <f t="shared" si="3"/>
        <v>1904</v>
      </c>
      <c r="AE15" s="158">
        <f t="shared" si="3"/>
        <v>1918</v>
      </c>
      <c r="AF15" s="158">
        <f t="shared" si="3"/>
        <v>1932</v>
      </c>
      <c r="AG15" s="158">
        <f t="shared" si="3"/>
        <v>1946</v>
      </c>
      <c r="AH15" s="158">
        <f t="shared" si="4"/>
        <v>1960</v>
      </c>
      <c r="AI15" s="158">
        <f t="shared" si="4"/>
        <v>1974</v>
      </c>
      <c r="AJ15" s="158">
        <f t="shared" si="4"/>
        <v>1988.0000000000005</v>
      </c>
      <c r="AK15" s="158">
        <f t="shared" si="4"/>
        <v>2002.0000000000005</v>
      </c>
      <c r="AL15" s="158">
        <f t="shared" si="4"/>
        <v>2016.0000000000005</v>
      </c>
      <c r="AM15" s="158">
        <f t="shared" si="4"/>
        <v>2030.0000000000005</v>
      </c>
      <c r="AN15" s="158">
        <f t="shared" si="4"/>
        <v>2044.0000000000005</v>
      </c>
      <c r="AO15" s="158">
        <f t="shared" si="4"/>
        <v>2058.0000000000005</v>
      </c>
      <c r="AP15" s="158">
        <f t="shared" si="4"/>
        <v>2072.0000000000005</v>
      </c>
      <c r="AQ15" s="158">
        <f t="shared" si="4"/>
        <v>2086.0000000000005</v>
      </c>
      <c r="AR15" s="158">
        <f t="shared" si="5"/>
        <v>2100.0000000000005</v>
      </c>
      <c r="AS15" s="158">
        <f t="shared" si="5"/>
        <v>2114.0000000000005</v>
      </c>
      <c r="AT15" s="158">
        <f t="shared" si="5"/>
        <v>2128.0000000000005</v>
      </c>
      <c r="AU15" s="158">
        <f t="shared" si="5"/>
        <v>2142.0000000000005</v>
      </c>
      <c r="AV15" s="158">
        <f t="shared" si="5"/>
        <v>2156.0000000000005</v>
      </c>
      <c r="AW15" s="158">
        <f t="shared" si="5"/>
        <v>2170.0000000000005</v>
      </c>
      <c r="AX15" s="158">
        <f t="shared" si="5"/>
        <v>2184.0000000000005</v>
      </c>
      <c r="AY15" s="158">
        <f t="shared" si="5"/>
        <v>2198.0000000000005</v>
      </c>
      <c r="AZ15" s="158">
        <f t="shared" si="5"/>
        <v>2212.0000000000005</v>
      </c>
      <c r="BA15" s="158">
        <f t="shared" si="5"/>
        <v>2226.0000000000005</v>
      </c>
    </row>
    <row r="16" spans="2:53" x14ac:dyDescent="0.2">
      <c r="B16" s="101">
        <v>11</v>
      </c>
      <c r="C16" s="113">
        <v>15</v>
      </c>
      <c r="D16" s="161">
        <f t="shared" ref="D16:M21" si="6">(base_score*($K$2+D$5)) * $C16</f>
        <v>1650.0000000000002</v>
      </c>
      <c r="E16" s="161">
        <f t="shared" si="6"/>
        <v>1665.0000000000002</v>
      </c>
      <c r="F16" s="161">
        <f t="shared" si="6"/>
        <v>1680.0000000000002</v>
      </c>
      <c r="G16" s="161">
        <f t="shared" si="6"/>
        <v>1695.0000000000002</v>
      </c>
      <c r="H16" s="161">
        <f t="shared" si="6"/>
        <v>1710.0000000000002</v>
      </c>
      <c r="I16" s="161">
        <f t="shared" si="6"/>
        <v>1725.0000000000002</v>
      </c>
      <c r="J16" s="161">
        <f t="shared" si="6"/>
        <v>1740.0000000000002</v>
      </c>
      <c r="K16" s="161">
        <f t="shared" si="6"/>
        <v>1755.0000000000002</v>
      </c>
      <c r="L16" s="161">
        <f t="shared" si="6"/>
        <v>1770.0000000000002</v>
      </c>
      <c r="M16" s="161">
        <f t="shared" si="6"/>
        <v>1785.0000000000002</v>
      </c>
      <c r="N16" s="161">
        <f t="shared" ref="N16:W21" si="7">(base_score*($K$2+N$5)) * $C16</f>
        <v>1800.0000000000002</v>
      </c>
      <c r="O16" s="161">
        <f t="shared" si="7"/>
        <v>1815</v>
      </c>
      <c r="P16" s="161">
        <f t="shared" si="7"/>
        <v>1830</v>
      </c>
      <c r="Q16" s="161">
        <f t="shared" si="7"/>
        <v>1845</v>
      </c>
      <c r="R16" s="161">
        <f t="shared" si="7"/>
        <v>1860</v>
      </c>
      <c r="S16" s="158">
        <f t="shared" si="7"/>
        <v>1875</v>
      </c>
      <c r="T16" s="158">
        <f t="shared" si="7"/>
        <v>1890</v>
      </c>
      <c r="U16" s="158">
        <f t="shared" si="7"/>
        <v>1905</v>
      </c>
      <c r="V16" s="158">
        <f t="shared" si="7"/>
        <v>1920</v>
      </c>
      <c r="W16" s="158">
        <f t="shared" si="7"/>
        <v>1935</v>
      </c>
      <c r="X16" s="158">
        <f t="shared" ref="X16:AG21" si="8">(base_score*($K$2+X$5)) * $C16</f>
        <v>1950</v>
      </c>
      <c r="Y16" s="160">
        <f t="shared" si="8"/>
        <v>1965</v>
      </c>
      <c r="Z16" s="158">
        <f t="shared" si="8"/>
        <v>1980</v>
      </c>
      <c r="AA16" s="158">
        <f t="shared" si="8"/>
        <v>1995</v>
      </c>
      <c r="AB16" s="158">
        <f t="shared" si="8"/>
        <v>2010</v>
      </c>
      <c r="AC16" s="158">
        <f t="shared" si="8"/>
        <v>2025</v>
      </c>
      <c r="AD16" s="158">
        <f t="shared" si="8"/>
        <v>2040</v>
      </c>
      <c r="AE16" s="158">
        <f t="shared" si="8"/>
        <v>2055</v>
      </c>
      <c r="AF16" s="158">
        <f t="shared" si="8"/>
        <v>2070</v>
      </c>
      <c r="AG16" s="158">
        <f t="shared" si="8"/>
        <v>2085</v>
      </c>
      <c r="AH16" s="158">
        <f t="shared" ref="AH16:AQ21" si="9">(base_score*($K$2+AH$5)) * $C16</f>
        <v>2100</v>
      </c>
      <c r="AI16" s="158">
        <f t="shared" si="9"/>
        <v>2115</v>
      </c>
      <c r="AJ16" s="158">
        <f t="shared" si="9"/>
        <v>2130.0000000000005</v>
      </c>
      <c r="AK16" s="158">
        <f t="shared" si="9"/>
        <v>2145.0000000000005</v>
      </c>
      <c r="AL16" s="158">
        <f t="shared" si="9"/>
        <v>2160.0000000000005</v>
      </c>
      <c r="AM16" s="158">
        <f t="shared" si="9"/>
        <v>2175.0000000000005</v>
      </c>
      <c r="AN16" s="158">
        <f t="shared" si="9"/>
        <v>2190.0000000000005</v>
      </c>
      <c r="AO16" s="158">
        <f t="shared" si="9"/>
        <v>2205.0000000000005</v>
      </c>
      <c r="AP16" s="158">
        <f t="shared" si="9"/>
        <v>2220.0000000000005</v>
      </c>
      <c r="AQ16" s="158">
        <f t="shared" si="9"/>
        <v>2235.0000000000005</v>
      </c>
      <c r="AR16" s="158">
        <f t="shared" ref="AR16:BA21" si="10">(base_score*($K$2+AR$5)) * $C16</f>
        <v>2250.0000000000005</v>
      </c>
      <c r="AS16" s="158">
        <f t="shared" si="10"/>
        <v>2265.0000000000005</v>
      </c>
      <c r="AT16" s="158">
        <f t="shared" si="10"/>
        <v>2280.0000000000005</v>
      </c>
      <c r="AU16" s="158">
        <f t="shared" si="10"/>
        <v>2295.0000000000005</v>
      </c>
      <c r="AV16" s="158">
        <f t="shared" si="10"/>
        <v>2310.0000000000005</v>
      </c>
      <c r="AW16" s="158">
        <f t="shared" si="10"/>
        <v>2325.0000000000005</v>
      </c>
      <c r="AX16" s="158">
        <f t="shared" si="10"/>
        <v>2340.0000000000005</v>
      </c>
      <c r="AY16" s="158">
        <f t="shared" si="10"/>
        <v>2355.0000000000005</v>
      </c>
      <c r="AZ16" s="158">
        <f t="shared" si="10"/>
        <v>2370.0000000000005</v>
      </c>
      <c r="BA16" s="158">
        <f t="shared" si="10"/>
        <v>2385.0000000000005</v>
      </c>
    </row>
    <row r="17" spans="1:53" x14ac:dyDescent="0.2">
      <c r="B17" s="101">
        <v>12</v>
      </c>
      <c r="C17" s="113">
        <v>16</v>
      </c>
      <c r="D17" s="161">
        <f t="shared" si="6"/>
        <v>1760.0000000000002</v>
      </c>
      <c r="E17" s="161">
        <f t="shared" si="6"/>
        <v>1776.0000000000002</v>
      </c>
      <c r="F17" s="161">
        <f t="shared" si="6"/>
        <v>1792.0000000000002</v>
      </c>
      <c r="G17" s="161">
        <f t="shared" si="6"/>
        <v>1808.0000000000002</v>
      </c>
      <c r="H17" s="161">
        <f t="shared" si="6"/>
        <v>1824.0000000000002</v>
      </c>
      <c r="I17" s="161">
        <f t="shared" si="6"/>
        <v>1840.0000000000002</v>
      </c>
      <c r="J17" s="161">
        <f t="shared" si="6"/>
        <v>1856.0000000000002</v>
      </c>
      <c r="K17" s="161">
        <f t="shared" si="6"/>
        <v>1872.0000000000002</v>
      </c>
      <c r="L17" s="161">
        <f t="shared" si="6"/>
        <v>1888.0000000000002</v>
      </c>
      <c r="M17" s="161">
        <f t="shared" si="6"/>
        <v>1904.0000000000002</v>
      </c>
      <c r="N17" s="161">
        <f t="shared" si="7"/>
        <v>1920.0000000000002</v>
      </c>
      <c r="O17" s="161">
        <f t="shared" si="7"/>
        <v>1936</v>
      </c>
      <c r="P17" s="161">
        <f t="shared" si="7"/>
        <v>1952</v>
      </c>
      <c r="Q17" s="161">
        <f t="shared" si="7"/>
        <v>1968</v>
      </c>
      <c r="R17" s="161">
        <f t="shared" si="7"/>
        <v>1984</v>
      </c>
      <c r="S17" s="161">
        <f t="shared" si="7"/>
        <v>2000</v>
      </c>
      <c r="T17" s="161">
        <f t="shared" si="7"/>
        <v>2016</v>
      </c>
      <c r="U17" s="160">
        <f t="shared" si="7"/>
        <v>2032</v>
      </c>
      <c r="V17" s="158">
        <f t="shared" si="7"/>
        <v>2048</v>
      </c>
      <c r="W17" s="158">
        <f t="shared" si="7"/>
        <v>2064</v>
      </c>
      <c r="X17" s="158">
        <f t="shared" si="8"/>
        <v>2080</v>
      </c>
      <c r="Y17" s="158">
        <f t="shared" si="8"/>
        <v>2096</v>
      </c>
      <c r="Z17" s="158">
        <f t="shared" si="8"/>
        <v>2112</v>
      </c>
      <c r="AA17" s="158">
        <f t="shared" si="8"/>
        <v>2128</v>
      </c>
      <c r="AB17" s="158">
        <f t="shared" si="8"/>
        <v>2144</v>
      </c>
      <c r="AC17" s="158">
        <f t="shared" si="8"/>
        <v>2160</v>
      </c>
      <c r="AD17" s="158">
        <f t="shared" si="8"/>
        <v>2176</v>
      </c>
      <c r="AE17" s="158">
        <f t="shared" si="8"/>
        <v>2192</v>
      </c>
      <c r="AF17" s="158">
        <f t="shared" si="8"/>
        <v>2208</v>
      </c>
      <c r="AG17" s="158">
        <f t="shared" si="8"/>
        <v>2224</v>
      </c>
      <c r="AH17" s="158">
        <f t="shared" si="9"/>
        <v>2240</v>
      </c>
      <c r="AI17" s="158">
        <f t="shared" si="9"/>
        <v>2256</v>
      </c>
      <c r="AJ17" s="158">
        <f t="shared" si="9"/>
        <v>2272.0000000000005</v>
      </c>
      <c r="AK17" s="158">
        <f t="shared" si="9"/>
        <v>2288.0000000000005</v>
      </c>
      <c r="AL17" s="158">
        <f t="shared" si="9"/>
        <v>2304.0000000000005</v>
      </c>
      <c r="AM17" s="158">
        <f t="shared" si="9"/>
        <v>2320.0000000000005</v>
      </c>
      <c r="AN17" s="158">
        <f t="shared" si="9"/>
        <v>2336.0000000000005</v>
      </c>
      <c r="AO17" s="158">
        <f t="shared" si="9"/>
        <v>2352.0000000000005</v>
      </c>
      <c r="AP17" s="158">
        <f t="shared" si="9"/>
        <v>2368.0000000000005</v>
      </c>
      <c r="AQ17" s="158">
        <f t="shared" si="9"/>
        <v>2384.0000000000005</v>
      </c>
      <c r="AR17" s="158">
        <f t="shared" si="10"/>
        <v>2400.0000000000005</v>
      </c>
      <c r="AS17" s="158">
        <f t="shared" si="10"/>
        <v>2416.0000000000005</v>
      </c>
      <c r="AT17" s="158">
        <f t="shared" si="10"/>
        <v>2432.0000000000005</v>
      </c>
      <c r="AU17" s="158">
        <f t="shared" si="10"/>
        <v>2448.0000000000005</v>
      </c>
      <c r="AV17" s="158">
        <f t="shared" si="10"/>
        <v>2464.0000000000005</v>
      </c>
      <c r="AW17" s="158">
        <f t="shared" si="10"/>
        <v>2480.0000000000005</v>
      </c>
      <c r="AX17" s="158">
        <f t="shared" si="10"/>
        <v>2496.0000000000005</v>
      </c>
      <c r="AY17" s="158">
        <f t="shared" si="10"/>
        <v>2512.0000000000005</v>
      </c>
      <c r="AZ17" s="158">
        <f t="shared" si="10"/>
        <v>2528.0000000000005</v>
      </c>
      <c r="BA17" s="158">
        <f t="shared" si="10"/>
        <v>2544.0000000000005</v>
      </c>
    </row>
    <row r="18" spans="1:53" x14ac:dyDescent="0.2">
      <c r="B18" s="101">
        <v>13</v>
      </c>
      <c r="C18" s="113">
        <v>17</v>
      </c>
      <c r="D18" s="161">
        <f t="shared" si="6"/>
        <v>1870.0000000000002</v>
      </c>
      <c r="E18" s="161">
        <f t="shared" si="6"/>
        <v>1887.0000000000002</v>
      </c>
      <c r="F18" s="161">
        <f t="shared" si="6"/>
        <v>1904.0000000000002</v>
      </c>
      <c r="G18" s="161">
        <f t="shared" si="6"/>
        <v>1921.0000000000002</v>
      </c>
      <c r="H18" s="161">
        <f t="shared" si="6"/>
        <v>1938.0000000000002</v>
      </c>
      <c r="I18" s="161">
        <f t="shared" si="6"/>
        <v>1955.0000000000002</v>
      </c>
      <c r="J18" s="161">
        <f t="shared" si="6"/>
        <v>1972.0000000000002</v>
      </c>
      <c r="K18" s="161">
        <f t="shared" si="6"/>
        <v>1989.0000000000002</v>
      </c>
      <c r="L18" s="161">
        <f t="shared" si="6"/>
        <v>2006.0000000000002</v>
      </c>
      <c r="M18" s="161">
        <f t="shared" si="6"/>
        <v>2023.0000000000002</v>
      </c>
      <c r="N18" s="161">
        <f t="shared" si="7"/>
        <v>2040.0000000000002</v>
      </c>
      <c r="O18" s="161">
        <f t="shared" si="7"/>
        <v>2057</v>
      </c>
      <c r="P18" s="161">
        <f t="shared" si="7"/>
        <v>2074</v>
      </c>
      <c r="Q18" s="161">
        <f t="shared" si="7"/>
        <v>2091</v>
      </c>
      <c r="R18" s="161">
        <f t="shared" si="7"/>
        <v>2108</v>
      </c>
      <c r="S18" s="161">
        <f t="shared" si="7"/>
        <v>2125</v>
      </c>
      <c r="T18" s="161">
        <f t="shared" si="7"/>
        <v>2142</v>
      </c>
      <c r="U18" s="161">
        <f t="shared" si="7"/>
        <v>2159</v>
      </c>
      <c r="V18" s="158">
        <f t="shared" si="7"/>
        <v>2176</v>
      </c>
      <c r="W18" s="158">
        <f t="shared" si="7"/>
        <v>2193</v>
      </c>
      <c r="X18" s="158">
        <f t="shared" si="8"/>
        <v>2210</v>
      </c>
      <c r="Y18" s="158">
        <f t="shared" si="8"/>
        <v>2227</v>
      </c>
      <c r="Z18" s="158">
        <f t="shared" si="8"/>
        <v>2244</v>
      </c>
      <c r="AA18" s="158">
        <f t="shared" si="8"/>
        <v>2261</v>
      </c>
      <c r="AB18" s="158">
        <f t="shared" si="8"/>
        <v>2278</v>
      </c>
      <c r="AC18" s="158">
        <f t="shared" si="8"/>
        <v>2295</v>
      </c>
      <c r="AD18" s="158">
        <f t="shared" si="8"/>
        <v>2312</v>
      </c>
      <c r="AE18" s="158">
        <f t="shared" si="8"/>
        <v>2329</v>
      </c>
      <c r="AF18" s="158">
        <f t="shared" si="8"/>
        <v>2346</v>
      </c>
      <c r="AG18" s="158">
        <f t="shared" si="8"/>
        <v>2363</v>
      </c>
      <c r="AH18" s="158">
        <f t="shared" si="9"/>
        <v>2380</v>
      </c>
      <c r="AI18" s="158">
        <f t="shared" si="9"/>
        <v>2397</v>
      </c>
      <c r="AJ18" s="158">
        <f t="shared" si="9"/>
        <v>2414.0000000000005</v>
      </c>
      <c r="AK18" s="158">
        <f t="shared" si="9"/>
        <v>2431.0000000000005</v>
      </c>
      <c r="AL18" s="158">
        <f t="shared" si="9"/>
        <v>2448.0000000000005</v>
      </c>
      <c r="AM18" s="158">
        <f t="shared" si="9"/>
        <v>2465.0000000000005</v>
      </c>
      <c r="AN18" s="158">
        <f t="shared" si="9"/>
        <v>2482.0000000000005</v>
      </c>
      <c r="AO18" s="158">
        <f t="shared" si="9"/>
        <v>2499.0000000000005</v>
      </c>
      <c r="AP18" s="158">
        <f t="shared" si="9"/>
        <v>2516.0000000000005</v>
      </c>
      <c r="AQ18" s="158">
        <f t="shared" si="9"/>
        <v>2533.0000000000005</v>
      </c>
      <c r="AR18" s="158">
        <f t="shared" si="10"/>
        <v>2550.0000000000005</v>
      </c>
      <c r="AS18" s="158">
        <f t="shared" si="10"/>
        <v>2567.0000000000005</v>
      </c>
      <c r="AT18" s="158">
        <f t="shared" si="10"/>
        <v>2584.0000000000005</v>
      </c>
      <c r="AU18" s="158">
        <f t="shared" si="10"/>
        <v>2601.0000000000005</v>
      </c>
      <c r="AV18" s="158">
        <f t="shared" si="10"/>
        <v>2618.0000000000005</v>
      </c>
      <c r="AW18" s="158">
        <f t="shared" si="10"/>
        <v>2635.0000000000005</v>
      </c>
      <c r="AX18" s="158">
        <f t="shared" si="10"/>
        <v>2652.0000000000005</v>
      </c>
      <c r="AY18" s="158">
        <f t="shared" si="10"/>
        <v>2669.0000000000005</v>
      </c>
      <c r="AZ18" s="158">
        <f t="shared" si="10"/>
        <v>2686.0000000000005</v>
      </c>
      <c r="BA18" s="158">
        <f t="shared" si="10"/>
        <v>2703.0000000000005</v>
      </c>
    </row>
    <row r="19" spans="1:53" x14ac:dyDescent="0.2">
      <c r="B19" s="101">
        <v>14</v>
      </c>
      <c r="C19" s="113">
        <v>18</v>
      </c>
      <c r="D19" s="161">
        <f t="shared" si="6"/>
        <v>1980.0000000000002</v>
      </c>
      <c r="E19" s="161">
        <f t="shared" si="6"/>
        <v>1998.0000000000002</v>
      </c>
      <c r="F19" s="161">
        <f t="shared" si="6"/>
        <v>2016.0000000000002</v>
      </c>
      <c r="G19" s="161">
        <f t="shared" si="6"/>
        <v>2034.0000000000002</v>
      </c>
      <c r="H19" s="161">
        <f t="shared" si="6"/>
        <v>2052.0000000000005</v>
      </c>
      <c r="I19" s="161">
        <f t="shared" si="6"/>
        <v>2070.0000000000005</v>
      </c>
      <c r="J19" s="161">
        <f t="shared" si="6"/>
        <v>2088.0000000000005</v>
      </c>
      <c r="K19" s="161">
        <f t="shared" si="6"/>
        <v>2106.0000000000005</v>
      </c>
      <c r="L19" s="161">
        <f t="shared" si="6"/>
        <v>2124.0000000000005</v>
      </c>
      <c r="M19" s="161">
        <f t="shared" si="6"/>
        <v>2142.0000000000005</v>
      </c>
      <c r="N19" s="161">
        <f t="shared" si="7"/>
        <v>2160.0000000000005</v>
      </c>
      <c r="O19" s="161">
        <f t="shared" si="7"/>
        <v>2178</v>
      </c>
      <c r="P19" s="161">
        <f t="shared" si="7"/>
        <v>2196</v>
      </c>
      <c r="Q19" s="161">
        <f t="shared" si="7"/>
        <v>2214</v>
      </c>
      <c r="R19" s="161">
        <f t="shared" si="7"/>
        <v>2232</v>
      </c>
      <c r="S19" s="161">
        <f t="shared" si="7"/>
        <v>2250</v>
      </c>
      <c r="T19" s="161">
        <f t="shared" si="7"/>
        <v>2268</v>
      </c>
      <c r="U19" s="161">
        <f t="shared" si="7"/>
        <v>2286</v>
      </c>
      <c r="V19" s="161">
        <f t="shared" si="7"/>
        <v>2304</v>
      </c>
      <c r="W19" s="161">
        <f t="shared" si="7"/>
        <v>2322</v>
      </c>
      <c r="X19" s="158">
        <f t="shared" si="8"/>
        <v>2340</v>
      </c>
      <c r="Y19" s="158">
        <f t="shared" si="8"/>
        <v>2358</v>
      </c>
      <c r="Z19" s="158">
        <f t="shared" si="8"/>
        <v>2376</v>
      </c>
      <c r="AA19" s="158">
        <f t="shared" si="8"/>
        <v>2394</v>
      </c>
      <c r="AB19" s="158">
        <f t="shared" si="8"/>
        <v>2412</v>
      </c>
      <c r="AC19" s="158">
        <f t="shared" si="8"/>
        <v>2430</v>
      </c>
      <c r="AD19" s="158">
        <f t="shared" si="8"/>
        <v>2448</v>
      </c>
      <c r="AE19" s="158">
        <f t="shared" si="8"/>
        <v>2466</v>
      </c>
      <c r="AF19" s="158">
        <f t="shared" si="8"/>
        <v>2484</v>
      </c>
      <c r="AG19" s="158">
        <f t="shared" si="8"/>
        <v>2502</v>
      </c>
      <c r="AH19" s="158">
        <f t="shared" si="9"/>
        <v>2520</v>
      </c>
      <c r="AI19" s="158">
        <f t="shared" si="9"/>
        <v>2538</v>
      </c>
      <c r="AJ19" s="158">
        <f t="shared" si="9"/>
        <v>2556.0000000000005</v>
      </c>
      <c r="AK19" s="158">
        <f t="shared" si="9"/>
        <v>2574.0000000000005</v>
      </c>
      <c r="AL19" s="158">
        <f t="shared" si="9"/>
        <v>2592.0000000000005</v>
      </c>
      <c r="AM19" s="158">
        <f t="shared" si="9"/>
        <v>2610.0000000000005</v>
      </c>
      <c r="AN19" s="158">
        <f t="shared" si="9"/>
        <v>2628.0000000000005</v>
      </c>
      <c r="AO19" s="158">
        <f t="shared" si="9"/>
        <v>2646.0000000000005</v>
      </c>
      <c r="AP19" s="158">
        <f t="shared" si="9"/>
        <v>2664.0000000000005</v>
      </c>
      <c r="AQ19" s="158">
        <f t="shared" si="9"/>
        <v>2682.0000000000005</v>
      </c>
      <c r="AR19" s="158">
        <f t="shared" si="10"/>
        <v>2700.0000000000005</v>
      </c>
      <c r="AS19" s="158">
        <f t="shared" si="10"/>
        <v>2718.0000000000005</v>
      </c>
      <c r="AT19" s="158">
        <f t="shared" si="10"/>
        <v>2736.0000000000005</v>
      </c>
      <c r="AU19" s="158">
        <f t="shared" si="10"/>
        <v>2754.0000000000005</v>
      </c>
      <c r="AV19" s="158">
        <f t="shared" si="10"/>
        <v>2772.0000000000005</v>
      </c>
      <c r="AW19" s="158">
        <f t="shared" si="10"/>
        <v>2790.0000000000005</v>
      </c>
      <c r="AX19" s="158">
        <f t="shared" si="10"/>
        <v>2808.0000000000005</v>
      </c>
      <c r="AY19" s="158">
        <f t="shared" si="10"/>
        <v>2826.0000000000005</v>
      </c>
      <c r="AZ19" s="158">
        <f t="shared" si="10"/>
        <v>2844.0000000000005</v>
      </c>
      <c r="BA19" s="158">
        <f t="shared" si="10"/>
        <v>2862.0000000000005</v>
      </c>
    </row>
    <row r="20" spans="1:53" x14ac:dyDescent="0.2">
      <c r="B20" s="101">
        <v>15</v>
      </c>
      <c r="C20" s="113">
        <v>19</v>
      </c>
      <c r="D20" s="161">
        <f t="shared" si="6"/>
        <v>2090.0000000000005</v>
      </c>
      <c r="E20" s="161">
        <f t="shared" si="6"/>
        <v>2109.0000000000005</v>
      </c>
      <c r="F20" s="161">
        <f t="shared" si="6"/>
        <v>2128.0000000000005</v>
      </c>
      <c r="G20" s="161">
        <f t="shared" si="6"/>
        <v>2147.0000000000005</v>
      </c>
      <c r="H20" s="161">
        <f t="shared" si="6"/>
        <v>2166.0000000000005</v>
      </c>
      <c r="I20" s="161">
        <f t="shared" si="6"/>
        <v>2185.0000000000005</v>
      </c>
      <c r="J20" s="161">
        <f t="shared" si="6"/>
        <v>2204.0000000000005</v>
      </c>
      <c r="K20" s="161">
        <f t="shared" si="6"/>
        <v>2223.0000000000005</v>
      </c>
      <c r="L20" s="161">
        <f t="shared" si="6"/>
        <v>2242.0000000000005</v>
      </c>
      <c r="M20" s="161">
        <f t="shared" si="6"/>
        <v>2261.0000000000005</v>
      </c>
      <c r="N20" s="161">
        <f t="shared" si="7"/>
        <v>2280.0000000000005</v>
      </c>
      <c r="O20" s="161">
        <f t="shared" si="7"/>
        <v>2299</v>
      </c>
      <c r="P20" s="161">
        <f t="shared" si="7"/>
        <v>2318</v>
      </c>
      <c r="Q20" s="161">
        <f t="shared" si="7"/>
        <v>2337</v>
      </c>
      <c r="R20" s="161">
        <f t="shared" si="7"/>
        <v>2356</v>
      </c>
      <c r="S20" s="161">
        <f t="shared" si="7"/>
        <v>2375</v>
      </c>
      <c r="T20" s="161">
        <f t="shared" si="7"/>
        <v>2394</v>
      </c>
      <c r="U20" s="161">
        <f t="shared" si="7"/>
        <v>2413</v>
      </c>
      <c r="V20" s="161">
        <f t="shared" si="7"/>
        <v>2432</v>
      </c>
      <c r="W20" s="161">
        <f t="shared" si="7"/>
        <v>2451</v>
      </c>
      <c r="X20" s="161">
        <f t="shared" si="8"/>
        <v>2470</v>
      </c>
      <c r="Y20" s="158">
        <f t="shared" si="8"/>
        <v>2489</v>
      </c>
      <c r="Z20" s="158">
        <f t="shared" si="8"/>
        <v>2508</v>
      </c>
      <c r="AA20" s="158">
        <f t="shared" si="8"/>
        <v>2527</v>
      </c>
      <c r="AB20" s="158">
        <f t="shared" si="8"/>
        <v>2546</v>
      </c>
      <c r="AC20" s="158">
        <f t="shared" si="8"/>
        <v>2565</v>
      </c>
      <c r="AD20" s="158">
        <f t="shared" si="8"/>
        <v>2584</v>
      </c>
      <c r="AE20" s="158">
        <f t="shared" si="8"/>
        <v>2603</v>
      </c>
      <c r="AF20" s="158">
        <f t="shared" si="8"/>
        <v>2622</v>
      </c>
      <c r="AG20" s="158">
        <f t="shared" si="8"/>
        <v>2641</v>
      </c>
      <c r="AH20" s="158">
        <f t="shared" si="9"/>
        <v>2660</v>
      </c>
      <c r="AI20" s="158">
        <f t="shared" si="9"/>
        <v>2679</v>
      </c>
      <c r="AJ20" s="158">
        <f t="shared" si="9"/>
        <v>2698.0000000000005</v>
      </c>
      <c r="AK20" s="158">
        <f t="shared" si="9"/>
        <v>2717.0000000000005</v>
      </c>
      <c r="AL20" s="158">
        <f t="shared" si="9"/>
        <v>2736.0000000000005</v>
      </c>
      <c r="AM20" s="158">
        <f t="shared" si="9"/>
        <v>2755.0000000000005</v>
      </c>
      <c r="AN20" s="158">
        <f t="shared" si="9"/>
        <v>2774.0000000000005</v>
      </c>
      <c r="AO20" s="158">
        <f t="shared" si="9"/>
        <v>2793.0000000000005</v>
      </c>
      <c r="AP20" s="158">
        <f t="shared" si="9"/>
        <v>2812.0000000000005</v>
      </c>
      <c r="AQ20" s="158">
        <f t="shared" si="9"/>
        <v>2831.0000000000005</v>
      </c>
      <c r="AR20" s="158">
        <f t="shared" si="10"/>
        <v>2850.0000000000005</v>
      </c>
      <c r="AS20" s="158">
        <f t="shared" si="10"/>
        <v>2869.0000000000005</v>
      </c>
      <c r="AT20" s="158">
        <f t="shared" si="10"/>
        <v>2888.0000000000005</v>
      </c>
      <c r="AU20" s="158">
        <f t="shared" si="10"/>
        <v>2907.0000000000005</v>
      </c>
      <c r="AV20" s="158">
        <f t="shared" si="10"/>
        <v>2926.0000000000005</v>
      </c>
      <c r="AW20" s="158">
        <f t="shared" si="10"/>
        <v>2945.0000000000005</v>
      </c>
      <c r="AX20" s="158">
        <f t="shared" si="10"/>
        <v>2964.0000000000005</v>
      </c>
      <c r="AY20" s="158">
        <f t="shared" si="10"/>
        <v>2983.0000000000005</v>
      </c>
      <c r="AZ20" s="158">
        <f t="shared" si="10"/>
        <v>3002.0000000000005</v>
      </c>
      <c r="BA20" s="158">
        <f t="shared" si="10"/>
        <v>3021.0000000000005</v>
      </c>
    </row>
    <row r="21" spans="1:53" x14ac:dyDescent="0.2">
      <c r="B21" s="101">
        <v>16</v>
      </c>
      <c r="C21" s="116">
        <v>20</v>
      </c>
      <c r="D21" s="163">
        <f t="shared" si="6"/>
        <v>2200.0000000000005</v>
      </c>
      <c r="E21" s="163">
        <f t="shared" si="6"/>
        <v>2220.0000000000005</v>
      </c>
      <c r="F21" s="163">
        <f t="shared" si="6"/>
        <v>2240.0000000000005</v>
      </c>
      <c r="G21" s="163">
        <f t="shared" si="6"/>
        <v>2260.0000000000005</v>
      </c>
      <c r="H21" s="163">
        <f t="shared" si="6"/>
        <v>2280.0000000000005</v>
      </c>
      <c r="I21" s="163">
        <f t="shared" si="6"/>
        <v>2300.0000000000005</v>
      </c>
      <c r="J21" s="163">
        <f t="shared" si="6"/>
        <v>2320.0000000000005</v>
      </c>
      <c r="K21" s="163">
        <f t="shared" si="6"/>
        <v>2340.0000000000005</v>
      </c>
      <c r="L21" s="163">
        <f t="shared" si="6"/>
        <v>2360.0000000000005</v>
      </c>
      <c r="M21" s="163">
        <f t="shared" si="6"/>
        <v>2380.0000000000005</v>
      </c>
      <c r="N21" s="163">
        <f t="shared" si="7"/>
        <v>2400.0000000000005</v>
      </c>
      <c r="O21" s="163">
        <f t="shared" si="7"/>
        <v>2420</v>
      </c>
      <c r="P21" s="163">
        <f t="shared" si="7"/>
        <v>2440</v>
      </c>
      <c r="Q21" s="163">
        <f t="shared" si="7"/>
        <v>2460</v>
      </c>
      <c r="R21" s="163">
        <f t="shared" si="7"/>
        <v>2480</v>
      </c>
      <c r="S21" s="163">
        <f t="shared" si="7"/>
        <v>2500</v>
      </c>
      <c r="T21" s="163">
        <f t="shared" si="7"/>
        <v>2520</v>
      </c>
      <c r="U21" s="163">
        <f t="shared" si="7"/>
        <v>2540</v>
      </c>
      <c r="V21" s="163">
        <f t="shared" si="7"/>
        <v>2560</v>
      </c>
      <c r="W21" s="163">
        <f t="shared" si="7"/>
        <v>2580</v>
      </c>
      <c r="X21" s="163">
        <f t="shared" si="8"/>
        <v>2600</v>
      </c>
      <c r="Y21" s="163">
        <f t="shared" si="8"/>
        <v>2620</v>
      </c>
      <c r="Z21" s="163">
        <f t="shared" si="8"/>
        <v>2640</v>
      </c>
      <c r="AA21" s="158">
        <f t="shared" si="8"/>
        <v>2660</v>
      </c>
      <c r="AB21" s="158">
        <f t="shared" si="8"/>
        <v>2680</v>
      </c>
      <c r="AC21" s="158">
        <f t="shared" si="8"/>
        <v>2700</v>
      </c>
      <c r="AD21" s="158">
        <f t="shared" si="8"/>
        <v>2720</v>
      </c>
      <c r="AE21" s="158">
        <f t="shared" si="8"/>
        <v>2740</v>
      </c>
      <c r="AF21" s="158">
        <f t="shared" si="8"/>
        <v>2760</v>
      </c>
      <c r="AG21" s="158">
        <f t="shared" si="8"/>
        <v>2780</v>
      </c>
      <c r="AH21" s="158">
        <f t="shared" si="9"/>
        <v>2800</v>
      </c>
      <c r="AI21" s="158">
        <f t="shared" si="9"/>
        <v>2820</v>
      </c>
      <c r="AJ21" s="158">
        <f t="shared" si="9"/>
        <v>2840.0000000000005</v>
      </c>
      <c r="AK21" s="158">
        <f t="shared" si="9"/>
        <v>2860.0000000000005</v>
      </c>
      <c r="AL21" s="158">
        <f t="shared" si="9"/>
        <v>2880.0000000000005</v>
      </c>
      <c r="AM21" s="158">
        <f t="shared" si="9"/>
        <v>2900.0000000000005</v>
      </c>
      <c r="AN21" s="158">
        <f t="shared" si="9"/>
        <v>2920.0000000000005</v>
      </c>
      <c r="AO21" s="158">
        <f t="shared" si="9"/>
        <v>2940.0000000000005</v>
      </c>
      <c r="AP21" s="158">
        <f t="shared" si="9"/>
        <v>2960.0000000000005</v>
      </c>
      <c r="AQ21" s="158">
        <f t="shared" si="9"/>
        <v>2980.0000000000005</v>
      </c>
      <c r="AR21" s="158">
        <f t="shared" si="10"/>
        <v>3000.0000000000005</v>
      </c>
      <c r="AS21" s="158">
        <f t="shared" si="10"/>
        <v>3020.0000000000005</v>
      </c>
      <c r="AT21" s="158">
        <f t="shared" si="10"/>
        <v>3040.0000000000005</v>
      </c>
      <c r="AU21" s="158">
        <f t="shared" si="10"/>
        <v>3060.0000000000005</v>
      </c>
      <c r="AV21" s="158">
        <f t="shared" si="10"/>
        <v>3080.0000000000005</v>
      </c>
      <c r="AW21" s="158">
        <f t="shared" si="10"/>
        <v>3100.0000000000005</v>
      </c>
      <c r="AX21" s="158">
        <f t="shared" si="10"/>
        <v>3120.0000000000005</v>
      </c>
      <c r="AY21" s="158">
        <f t="shared" si="10"/>
        <v>3140.0000000000005</v>
      </c>
      <c r="AZ21" s="158">
        <f t="shared" si="10"/>
        <v>3160.0000000000005</v>
      </c>
      <c r="BA21" s="158">
        <f t="shared" si="10"/>
        <v>3180.0000000000005</v>
      </c>
    </row>
    <row r="22" spans="1:53" x14ac:dyDescent="0.2">
      <c r="K22" s="154" t="s">
        <v>284</v>
      </c>
      <c r="O22" s="154" t="s">
        <v>286</v>
      </c>
    </row>
    <row r="23" spans="1:53" x14ac:dyDescent="0.2">
      <c r="C23" s="168" t="s">
        <v>288</v>
      </c>
      <c r="D23" s="156" t="s">
        <v>206</v>
      </c>
      <c r="E23" s="156"/>
      <c r="F23" s="156"/>
      <c r="G23" s="156"/>
      <c r="H23" s="156"/>
      <c r="I23" s="156"/>
      <c r="J23" s="156"/>
      <c r="K23" s="164">
        <f>'매칭-전투력'!F72</f>
        <v>1.4000000000000004</v>
      </c>
      <c r="L23" s="156"/>
      <c r="M23" s="156"/>
      <c r="O23" s="165">
        <f>'매칭-전투력'!G72</f>
        <v>9.9000000000000005E-2</v>
      </c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7"/>
    </row>
    <row r="24" spans="1:53" x14ac:dyDescent="0.2">
      <c r="C24" s="142"/>
      <c r="D24" s="158">
        <v>1</v>
      </c>
      <c r="E24" s="158">
        <v>2</v>
      </c>
      <c r="F24" s="158">
        <v>3</v>
      </c>
      <c r="G24" s="158">
        <v>4</v>
      </c>
      <c r="H24" s="158">
        <v>5</v>
      </c>
      <c r="I24" s="158">
        <v>6</v>
      </c>
      <c r="J24" s="158">
        <v>7</v>
      </c>
      <c r="K24" s="158">
        <v>8</v>
      </c>
      <c r="L24" s="158">
        <v>9</v>
      </c>
      <c r="M24" s="158">
        <v>10</v>
      </c>
      <c r="N24" s="158">
        <v>11</v>
      </c>
      <c r="O24" s="158">
        <v>12</v>
      </c>
      <c r="P24" s="158">
        <v>13</v>
      </c>
      <c r="Q24" s="158">
        <v>14</v>
      </c>
      <c r="R24" s="158">
        <v>15</v>
      </c>
      <c r="S24" s="158">
        <v>16</v>
      </c>
      <c r="T24" s="158">
        <v>17</v>
      </c>
      <c r="U24" s="158">
        <v>18</v>
      </c>
      <c r="V24" s="158">
        <v>19</v>
      </c>
      <c r="W24" s="158">
        <v>20</v>
      </c>
      <c r="X24" s="158">
        <v>21</v>
      </c>
      <c r="Y24" s="158">
        <v>22</v>
      </c>
      <c r="Z24" s="158">
        <v>23</v>
      </c>
      <c r="AA24" s="158">
        <v>24</v>
      </c>
      <c r="AB24" s="158">
        <v>25</v>
      </c>
      <c r="AC24" s="158">
        <v>26</v>
      </c>
      <c r="AD24" s="158">
        <v>27</v>
      </c>
      <c r="AE24" s="158">
        <v>28</v>
      </c>
      <c r="AF24" s="158">
        <v>29</v>
      </c>
      <c r="AG24" s="158">
        <v>30</v>
      </c>
      <c r="AH24" s="158">
        <v>31</v>
      </c>
      <c r="AI24" s="158">
        <v>32</v>
      </c>
      <c r="AJ24" s="158">
        <v>33</v>
      </c>
      <c r="AK24" s="158">
        <v>34</v>
      </c>
      <c r="AL24" s="158">
        <v>35</v>
      </c>
      <c r="AM24" s="158">
        <v>36</v>
      </c>
      <c r="AN24" s="158">
        <v>37</v>
      </c>
      <c r="AO24" s="158">
        <v>38</v>
      </c>
      <c r="AP24" s="158">
        <v>39</v>
      </c>
      <c r="AQ24" s="158">
        <v>40</v>
      </c>
      <c r="AR24" s="158">
        <v>41</v>
      </c>
      <c r="AS24" s="158">
        <v>42</v>
      </c>
      <c r="AT24" s="158">
        <v>43</v>
      </c>
      <c r="AU24" s="158">
        <v>44</v>
      </c>
      <c r="AV24" s="158">
        <v>45</v>
      </c>
      <c r="AW24" s="158">
        <v>46</v>
      </c>
      <c r="AX24" s="158">
        <v>47</v>
      </c>
      <c r="AY24" s="158">
        <v>48</v>
      </c>
      <c r="AZ24" s="158">
        <v>49</v>
      </c>
      <c r="BA24" s="158">
        <v>50</v>
      </c>
    </row>
    <row r="25" spans="1:53" x14ac:dyDescent="0.2">
      <c r="A25" s="101" t="s">
        <v>291</v>
      </c>
      <c r="B25" s="101" t="s">
        <v>158</v>
      </c>
      <c r="C25" s="110" t="s">
        <v>216</v>
      </c>
      <c r="D25" s="167">
        <v>0</v>
      </c>
      <c r="E25" s="167">
        <f>D25+$O23</f>
        <v>9.9000000000000005E-2</v>
      </c>
      <c r="F25" s="167">
        <f t="shared" ref="F25:BA25" si="11">E25+$O23</f>
        <v>0.19800000000000001</v>
      </c>
      <c r="G25" s="167">
        <f t="shared" si="11"/>
        <v>0.29700000000000004</v>
      </c>
      <c r="H25" s="167">
        <f t="shared" si="11"/>
        <v>0.39600000000000002</v>
      </c>
      <c r="I25" s="167">
        <f t="shared" si="11"/>
        <v>0.495</v>
      </c>
      <c r="J25" s="167">
        <f t="shared" si="11"/>
        <v>0.59399999999999997</v>
      </c>
      <c r="K25" s="167">
        <f t="shared" si="11"/>
        <v>0.69299999999999995</v>
      </c>
      <c r="L25" s="167">
        <f t="shared" si="11"/>
        <v>0.79199999999999993</v>
      </c>
      <c r="M25" s="167">
        <f t="shared" si="11"/>
        <v>0.8909999999999999</v>
      </c>
      <c r="N25" s="167">
        <f t="shared" si="11"/>
        <v>0.98999999999999988</v>
      </c>
      <c r="O25" s="167">
        <f t="shared" si="11"/>
        <v>1.089</v>
      </c>
      <c r="P25" s="167">
        <f t="shared" si="11"/>
        <v>1.1879999999999999</v>
      </c>
      <c r="Q25" s="167">
        <f t="shared" si="11"/>
        <v>1.2869999999999999</v>
      </c>
      <c r="R25" s="167">
        <f t="shared" si="11"/>
        <v>1.3859999999999999</v>
      </c>
      <c r="S25" s="167">
        <f t="shared" si="11"/>
        <v>1.4849999999999999</v>
      </c>
      <c r="T25" s="167">
        <f t="shared" si="11"/>
        <v>1.5839999999999999</v>
      </c>
      <c r="U25" s="167">
        <f t="shared" si="11"/>
        <v>1.6829999999999998</v>
      </c>
      <c r="V25" s="167">
        <f t="shared" si="11"/>
        <v>1.7819999999999998</v>
      </c>
      <c r="W25" s="167">
        <f t="shared" si="11"/>
        <v>1.8809999999999998</v>
      </c>
      <c r="X25" s="167">
        <f t="shared" si="11"/>
        <v>1.9799999999999998</v>
      </c>
      <c r="Y25" s="167">
        <f t="shared" si="11"/>
        <v>2.0789999999999997</v>
      </c>
      <c r="Z25" s="167">
        <f t="shared" si="11"/>
        <v>2.1779999999999999</v>
      </c>
      <c r="AA25" s="167">
        <f t="shared" si="11"/>
        <v>2.2770000000000001</v>
      </c>
      <c r="AB25" s="167">
        <f t="shared" si="11"/>
        <v>2.3760000000000003</v>
      </c>
      <c r="AC25" s="167">
        <f t="shared" si="11"/>
        <v>2.4750000000000005</v>
      </c>
      <c r="AD25" s="167">
        <f t="shared" si="11"/>
        <v>2.5740000000000007</v>
      </c>
      <c r="AE25" s="167">
        <f t="shared" si="11"/>
        <v>2.6730000000000009</v>
      </c>
      <c r="AF25" s="167">
        <f t="shared" si="11"/>
        <v>2.7720000000000011</v>
      </c>
      <c r="AG25" s="167">
        <f t="shared" si="11"/>
        <v>2.8710000000000013</v>
      </c>
      <c r="AH25" s="167">
        <f t="shared" si="11"/>
        <v>2.9700000000000015</v>
      </c>
      <c r="AI25" s="167">
        <f t="shared" si="11"/>
        <v>3.0690000000000017</v>
      </c>
      <c r="AJ25" s="167">
        <f t="shared" si="11"/>
        <v>3.1680000000000019</v>
      </c>
      <c r="AK25" s="167">
        <f t="shared" si="11"/>
        <v>3.2670000000000021</v>
      </c>
      <c r="AL25" s="167">
        <f t="shared" si="11"/>
        <v>3.3660000000000023</v>
      </c>
      <c r="AM25" s="167">
        <f t="shared" si="11"/>
        <v>3.4650000000000025</v>
      </c>
      <c r="AN25" s="167">
        <f t="shared" si="11"/>
        <v>3.5640000000000027</v>
      </c>
      <c r="AO25" s="167">
        <f t="shared" si="11"/>
        <v>3.6630000000000029</v>
      </c>
      <c r="AP25" s="167">
        <f t="shared" si="11"/>
        <v>3.7620000000000031</v>
      </c>
      <c r="AQ25" s="167">
        <f t="shared" si="11"/>
        <v>3.8610000000000033</v>
      </c>
      <c r="AR25" s="167">
        <f t="shared" si="11"/>
        <v>3.9600000000000035</v>
      </c>
      <c r="AS25" s="167">
        <f t="shared" si="11"/>
        <v>4.0590000000000037</v>
      </c>
      <c r="AT25" s="167">
        <f t="shared" si="11"/>
        <v>4.1580000000000039</v>
      </c>
      <c r="AU25" s="167">
        <f t="shared" si="11"/>
        <v>4.2570000000000041</v>
      </c>
      <c r="AV25" s="167">
        <f t="shared" si="11"/>
        <v>4.3560000000000043</v>
      </c>
      <c r="AW25" s="167">
        <f t="shared" si="11"/>
        <v>4.4550000000000045</v>
      </c>
      <c r="AX25" s="167">
        <f t="shared" si="11"/>
        <v>4.5540000000000047</v>
      </c>
      <c r="AY25" s="167">
        <f t="shared" si="11"/>
        <v>4.6530000000000049</v>
      </c>
      <c r="AZ25" s="167">
        <f t="shared" si="11"/>
        <v>4.7520000000000051</v>
      </c>
      <c r="BA25" s="167">
        <f t="shared" si="11"/>
        <v>4.8510000000000053</v>
      </c>
    </row>
    <row r="26" spans="1:53" x14ac:dyDescent="0.2">
      <c r="B26" s="101">
        <v>1</v>
      </c>
      <c r="C26" s="113">
        <v>5</v>
      </c>
      <c r="D26" s="158">
        <f t="shared" ref="D26:M35" si="12">(base_score*($K$23+D$25)) * $C26</f>
        <v>700.00000000000011</v>
      </c>
      <c r="E26" s="158">
        <f t="shared" si="12"/>
        <v>749.50000000000023</v>
      </c>
      <c r="F26" s="158">
        <f t="shared" si="12"/>
        <v>799.00000000000023</v>
      </c>
      <c r="G26" s="158">
        <f t="shared" si="12"/>
        <v>848.50000000000023</v>
      </c>
      <c r="H26" s="158">
        <f t="shared" si="12"/>
        <v>898.00000000000011</v>
      </c>
      <c r="I26" s="158">
        <f t="shared" si="12"/>
        <v>947.50000000000023</v>
      </c>
      <c r="J26" s="158">
        <f t="shared" si="12"/>
        <v>997.00000000000023</v>
      </c>
      <c r="K26" s="158">
        <f t="shared" si="12"/>
        <v>1046.5000000000002</v>
      </c>
      <c r="L26" s="158">
        <f t="shared" si="12"/>
        <v>1096</v>
      </c>
      <c r="M26" s="158">
        <f t="shared" si="12"/>
        <v>1145.5</v>
      </c>
      <c r="N26" s="158">
        <f t="shared" ref="N26:W35" si="13">(base_score*($K$23+N$25)) * $C26</f>
        <v>1195</v>
      </c>
      <c r="O26" s="158">
        <f t="shared" si="13"/>
        <v>1244.5000000000002</v>
      </c>
      <c r="P26" s="158">
        <f t="shared" si="13"/>
        <v>1294</v>
      </c>
      <c r="Q26" s="158">
        <f t="shared" si="13"/>
        <v>1343.5000000000002</v>
      </c>
      <c r="R26" s="158">
        <f t="shared" si="13"/>
        <v>1393</v>
      </c>
      <c r="S26" s="158">
        <f t="shared" si="13"/>
        <v>1442.5</v>
      </c>
      <c r="T26" s="158">
        <f t="shared" si="13"/>
        <v>1492</v>
      </c>
      <c r="U26" s="158">
        <f t="shared" si="13"/>
        <v>1541.5</v>
      </c>
      <c r="V26" s="158">
        <f t="shared" si="13"/>
        <v>1591.0000000000002</v>
      </c>
      <c r="W26" s="158">
        <f t="shared" si="13"/>
        <v>1640.5</v>
      </c>
      <c r="X26" s="160">
        <f t="shared" ref="X26:AG35" si="14">(base_score*($K$23+X$25)) * $C26</f>
        <v>1690</v>
      </c>
      <c r="Y26" s="158">
        <f t="shared" si="14"/>
        <v>1739.5000000000002</v>
      </c>
      <c r="Z26" s="158">
        <f t="shared" si="14"/>
        <v>1789</v>
      </c>
      <c r="AA26" s="160">
        <f t="shared" si="14"/>
        <v>1838.5000000000002</v>
      </c>
      <c r="AB26" s="160">
        <f t="shared" si="14"/>
        <v>1888.0000000000005</v>
      </c>
      <c r="AC26" s="160">
        <f t="shared" si="14"/>
        <v>1937.5000000000005</v>
      </c>
      <c r="AD26" s="160">
        <f t="shared" si="14"/>
        <v>1987.0000000000005</v>
      </c>
      <c r="AE26" s="160">
        <f t="shared" si="14"/>
        <v>2036.5000000000007</v>
      </c>
      <c r="AF26" s="160">
        <f t="shared" si="14"/>
        <v>2086.0000000000009</v>
      </c>
      <c r="AG26" s="160">
        <f t="shared" si="14"/>
        <v>2135.5000000000009</v>
      </c>
      <c r="AH26" s="160">
        <f t="shared" ref="AH26:AQ35" si="15">(base_score*($K$23+AH$25)) * $C26</f>
        <v>2185.0000000000009</v>
      </c>
      <c r="AI26" s="160">
        <f t="shared" si="15"/>
        <v>2234.5000000000009</v>
      </c>
      <c r="AJ26" s="160">
        <f t="shared" si="15"/>
        <v>2284.0000000000014</v>
      </c>
      <c r="AK26" s="160">
        <f t="shared" si="15"/>
        <v>2333.5000000000014</v>
      </c>
      <c r="AL26" s="160">
        <f t="shared" si="15"/>
        <v>2383.0000000000014</v>
      </c>
      <c r="AM26" s="160">
        <f t="shared" si="15"/>
        <v>2432.5000000000014</v>
      </c>
      <c r="AN26" s="160">
        <f t="shared" si="15"/>
        <v>2482.0000000000018</v>
      </c>
      <c r="AO26" s="160">
        <f t="shared" si="15"/>
        <v>2531.5000000000018</v>
      </c>
      <c r="AP26" s="160">
        <f t="shared" si="15"/>
        <v>2581.0000000000018</v>
      </c>
      <c r="AQ26" s="160">
        <f t="shared" si="15"/>
        <v>2630.5000000000018</v>
      </c>
      <c r="AR26" s="160">
        <f t="shared" ref="AR26:BA35" si="16">(base_score*($K$23+AR$25)) * $C26</f>
        <v>2680.0000000000018</v>
      </c>
      <c r="AS26" s="160">
        <f t="shared" si="16"/>
        <v>2729.5000000000023</v>
      </c>
      <c r="AT26" s="160">
        <f t="shared" si="16"/>
        <v>2779.0000000000018</v>
      </c>
      <c r="AU26" s="160">
        <f t="shared" si="16"/>
        <v>2828.5000000000027</v>
      </c>
      <c r="AV26" s="160">
        <f t="shared" si="16"/>
        <v>2878.0000000000023</v>
      </c>
      <c r="AW26" s="160">
        <f t="shared" si="16"/>
        <v>2927.5000000000023</v>
      </c>
      <c r="AX26" s="160">
        <f t="shared" si="16"/>
        <v>2977.0000000000027</v>
      </c>
      <c r="AY26" s="160">
        <f t="shared" si="16"/>
        <v>3026.5000000000027</v>
      </c>
      <c r="AZ26" s="160">
        <f t="shared" si="16"/>
        <v>3076.0000000000027</v>
      </c>
      <c r="BA26" s="160">
        <f t="shared" si="16"/>
        <v>3125.5000000000027</v>
      </c>
    </row>
    <row r="27" spans="1:53" x14ac:dyDescent="0.2">
      <c r="A27" s="169">
        <f>C27/C26</f>
        <v>1.2</v>
      </c>
      <c r="B27" s="101">
        <v>2</v>
      </c>
      <c r="C27" s="113">
        <v>6</v>
      </c>
      <c r="D27" s="161">
        <f t="shared" si="12"/>
        <v>840.00000000000023</v>
      </c>
      <c r="E27" s="161">
        <f t="shared" si="12"/>
        <v>899.4000000000002</v>
      </c>
      <c r="F27" s="158">
        <f t="shared" si="12"/>
        <v>958.80000000000018</v>
      </c>
      <c r="G27" s="158">
        <f t="shared" si="12"/>
        <v>1018.2000000000003</v>
      </c>
      <c r="H27" s="158">
        <f t="shared" si="12"/>
        <v>1077.6000000000001</v>
      </c>
      <c r="I27" s="158">
        <f t="shared" si="12"/>
        <v>1137.0000000000005</v>
      </c>
      <c r="J27" s="158">
        <f t="shared" si="12"/>
        <v>1196.4000000000001</v>
      </c>
      <c r="K27" s="158">
        <f t="shared" si="12"/>
        <v>1255.8000000000002</v>
      </c>
      <c r="L27" s="158">
        <f t="shared" si="12"/>
        <v>1315.2</v>
      </c>
      <c r="M27" s="158">
        <f t="shared" si="12"/>
        <v>1374.6000000000001</v>
      </c>
      <c r="N27" s="158">
        <f t="shared" si="13"/>
        <v>1434</v>
      </c>
      <c r="O27" s="158">
        <f t="shared" si="13"/>
        <v>1493.4</v>
      </c>
      <c r="P27" s="158">
        <f t="shared" si="13"/>
        <v>1552.8000000000002</v>
      </c>
      <c r="Q27" s="158">
        <f t="shared" si="13"/>
        <v>1612.2000000000003</v>
      </c>
      <c r="R27" s="158">
        <f t="shared" si="13"/>
        <v>1671.6000000000001</v>
      </c>
      <c r="S27" s="158">
        <f t="shared" si="13"/>
        <v>1731</v>
      </c>
      <c r="T27" s="158">
        <f t="shared" si="13"/>
        <v>1790.3999999999999</v>
      </c>
      <c r="U27" s="158">
        <f t="shared" si="13"/>
        <v>1849.8000000000002</v>
      </c>
      <c r="V27" s="158">
        <f t="shared" si="13"/>
        <v>1909.2000000000003</v>
      </c>
      <c r="W27" s="158">
        <f t="shared" si="13"/>
        <v>1968.6000000000001</v>
      </c>
      <c r="X27" s="158">
        <f t="shared" si="14"/>
        <v>2028</v>
      </c>
      <c r="Y27" s="158">
        <f t="shared" si="14"/>
        <v>2087.4</v>
      </c>
      <c r="Z27" s="158">
        <f t="shared" si="14"/>
        <v>2146.8000000000002</v>
      </c>
      <c r="AA27" s="160">
        <f t="shared" si="14"/>
        <v>2206.2000000000003</v>
      </c>
      <c r="AB27" s="160">
        <f t="shared" si="14"/>
        <v>2265.6000000000004</v>
      </c>
      <c r="AC27" s="160">
        <f t="shared" si="14"/>
        <v>2325.0000000000009</v>
      </c>
      <c r="AD27" s="160">
        <f t="shared" si="14"/>
        <v>2384.4000000000005</v>
      </c>
      <c r="AE27" s="160">
        <f t="shared" si="14"/>
        <v>2443.8000000000006</v>
      </c>
      <c r="AF27" s="160">
        <f t="shared" si="14"/>
        <v>2503.2000000000007</v>
      </c>
      <c r="AG27" s="160">
        <f t="shared" si="14"/>
        <v>2562.6000000000013</v>
      </c>
      <c r="AH27" s="160">
        <f t="shared" si="15"/>
        <v>2622.0000000000009</v>
      </c>
      <c r="AI27" s="160">
        <f t="shared" si="15"/>
        <v>2681.4000000000015</v>
      </c>
      <c r="AJ27" s="160">
        <f t="shared" si="15"/>
        <v>2740.8000000000015</v>
      </c>
      <c r="AK27" s="160">
        <f t="shared" si="15"/>
        <v>2800.2000000000016</v>
      </c>
      <c r="AL27" s="160">
        <f t="shared" si="15"/>
        <v>2859.6000000000013</v>
      </c>
      <c r="AM27" s="160">
        <f t="shared" si="15"/>
        <v>2919.0000000000018</v>
      </c>
      <c r="AN27" s="160">
        <f t="shared" si="15"/>
        <v>2978.4000000000019</v>
      </c>
      <c r="AO27" s="160">
        <f t="shared" si="15"/>
        <v>3037.800000000002</v>
      </c>
      <c r="AP27" s="160">
        <f t="shared" si="15"/>
        <v>3097.2000000000025</v>
      </c>
      <c r="AQ27" s="160">
        <f t="shared" si="15"/>
        <v>3156.6000000000022</v>
      </c>
      <c r="AR27" s="160">
        <f t="shared" si="16"/>
        <v>3216.0000000000018</v>
      </c>
      <c r="AS27" s="160">
        <f t="shared" si="16"/>
        <v>3275.4000000000024</v>
      </c>
      <c r="AT27" s="160">
        <f t="shared" si="16"/>
        <v>3334.8000000000025</v>
      </c>
      <c r="AU27" s="160">
        <f t="shared" si="16"/>
        <v>3394.200000000003</v>
      </c>
      <c r="AV27" s="160">
        <f t="shared" si="16"/>
        <v>3453.6000000000031</v>
      </c>
      <c r="AW27" s="160">
        <f t="shared" si="16"/>
        <v>3513.0000000000027</v>
      </c>
      <c r="AX27" s="160">
        <f t="shared" si="16"/>
        <v>3572.4000000000033</v>
      </c>
      <c r="AY27" s="160">
        <f t="shared" si="16"/>
        <v>3631.8000000000029</v>
      </c>
      <c r="AZ27" s="160">
        <f t="shared" si="16"/>
        <v>3691.200000000003</v>
      </c>
      <c r="BA27" s="160">
        <f t="shared" si="16"/>
        <v>3750.6000000000035</v>
      </c>
    </row>
    <row r="28" spans="1:53" x14ac:dyDescent="0.2">
      <c r="A28" s="169">
        <f t="shared" ref="A28:A41" si="17">C28/C27</f>
        <v>1.1666666666666667</v>
      </c>
      <c r="B28" s="101">
        <v>3</v>
      </c>
      <c r="C28" s="113">
        <v>7</v>
      </c>
      <c r="D28" s="161">
        <f t="shared" si="12"/>
        <v>980.00000000000023</v>
      </c>
      <c r="E28" s="161">
        <f t="shared" si="12"/>
        <v>1049.3000000000002</v>
      </c>
      <c r="F28" s="161">
        <f t="shared" si="12"/>
        <v>1118.6000000000004</v>
      </c>
      <c r="G28" s="158">
        <f t="shared" si="12"/>
        <v>1187.9000000000003</v>
      </c>
      <c r="H28" s="158">
        <f t="shared" si="12"/>
        <v>1257.2000000000003</v>
      </c>
      <c r="I28" s="158">
        <f t="shared" si="12"/>
        <v>1326.5000000000005</v>
      </c>
      <c r="J28" s="158">
        <f t="shared" si="12"/>
        <v>1395.8000000000002</v>
      </c>
      <c r="K28" s="158">
        <f t="shared" si="12"/>
        <v>1465.1000000000004</v>
      </c>
      <c r="L28" s="158">
        <f t="shared" si="12"/>
        <v>1534.4</v>
      </c>
      <c r="M28" s="158">
        <f t="shared" si="12"/>
        <v>1603.7000000000003</v>
      </c>
      <c r="N28" s="158">
        <f t="shared" si="13"/>
        <v>1673</v>
      </c>
      <c r="O28" s="158">
        <f t="shared" si="13"/>
        <v>1742.3000000000002</v>
      </c>
      <c r="P28" s="158">
        <f t="shared" si="13"/>
        <v>1811.6000000000001</v>
      </c>
      <c r="Q28" s="158">
        <f t="shared" si="13"/>
        <v>1880.9000000000003</v>
      </c>
      <c r="R28" s="158">
        <f t="shared" si="13"/>
        <v>1950.2000000000003</v>
      </c>
      <c r="S28" s="158">
        <f t="shared" si="13"/>
        <v>2019.5</v>
      </c>
      <c r="T28" s="158">
        <f t="shared" si="13"/>
        <v>2088.7999999999997</v>
      </c>
      <c r="U28" s="158">
        <f t="shared" si="13"/>
        <v>2158.1</v>
      </c>
      <c r="V28" s="158">
        <f t="shared" si="13"/>
        <v>2227.4000000000005</v>
      </c>
      <c r="W28" s="158">
        <f t="shared" si="13"/>
        <v>2296.7000000000003</v>
      </c>
      <c r="X28" s="158">
        <f t="shared" si="14"/>
        <v>2366</v>
      </c>
      <c r="Y28" s="158">
        <f t="shared" si="14"/>
        <v>2435.3000000000002</v>
      </c>
      <c r="Z28" s="158">
        <f t="shared" si="14"/>
        <v>2504.6</v>
      </c>
      <c r="AA28" s="160">
        <f t="shared" si="14"/>
        <v>2573.9000000000005</v>
      </c>
      <c r="AB28" s="160">
        <f t="shared" si="14"/>
        <v>2643.2000000000007</v>
      </c>
      <c r="AC28" s="160">
        <f t="shared" si="14"/>
        <v>2712.5000000000009</v>
      </c>
      <c r="AD28" s="160">
        <f t="shared" si="14"/>
        <v>2781.8000000000006</v>
      </c>
      <c r="AE28" s="160">
        <f t="shared" si="14"/>
        <v>2851.1000000000008</v>
      </c>
      <c r="AF28" s="160">
        <f t="shared" si="14"/>
        <v>2920.400000000001</v>
      </c>
      <c r="AG28" s="160">
        <f t="shared" si="14"/>
        <v>2989.7000000000012</v>
      </c>
      <c r="AH28" s="160">
        <f t="shared" si="15"/>
        <v>3059.0000000000014</v>
      </c>
      <c r="AI28" s="160">
        <f t="shared" si="15"/>
        <v>3128.3000000000015</v>
      </c>
      <c r="AJ28" s="160">
        <f t="shared" si="15"/>
        <v>3197.6000000000017</v>
      </c>
      <c r="AK28" s="160">
        <f t="shared" si="15"/>
        <v>3266.9000000000019</v>
      </c>
      <c r="AL28" s="160">
        <f t="shared" si="15"/>
        <v>3336.2000000000016</v>
      </c>
      <c r="AM28" s="160">
        <f t="shared" si="15"/>
        <v>3405.5000000000018</v>
      </c>
      <c r="AN28" s="160">
        <f t="shared" si="15"/>
        <v>3474.800000000002</v>
      </c>
      <c r="AO28" s="160">
        <f t="shared" si="15"/>
        <v>3544.1000000000026</v>
      </c>
      <c r="AP28" s="160">
        <f t="shared" si="15"/>
        <v>3613.4000000000028</v>
      </c>
      <c r="AQ28" s="160">
        <f t="shared" si="15"/>
        <v>3682.7000000000025</v>
      </c>
      <c r="AR28" s="160">
        <f t="shared" si="16"/>
        <v>3752.0000000000023</v>
      </c>
      <c r="AS28" s="160">
        <f t="shared" si="16"/>
        <v>3821.3000000000029</v>
      </c>
      <c r="AT28" s="160">
        <f t="shared" si="16"/>
        <v>3890.6000000000031</v>
      </c>
      <c r="AU28" s="160">
        <f t="shared" si="16"/>
        <v>3959.9000000000033</v>
      </c>
      <c r="AV28" s="160">
        <f t="shared" si="16"/>
        <v>4029.2000000000035</v>
      </c>
      <c r="AW28" s="160">
        <f t="shared" si="16"/>
        <v>4098.5000000000036</v>
      </c>
      <c r="AX28" s="160">
        <f t="shared" si="16"/>
        <v>4167.8000000000038</v>
      </c>
      <c r="AY28" s="160">
        <f t="shared" si="16"/>
        <v>4237.100000000004</v>
      </c>
      <c r="AZ28" s="160">
        <f t="shared" si="16"/>
        <v>4306.4000000000033</v>
      </c>
      <c r="BA28" s="160">
        <f t="shared" si="16"/>
        <v>4375.7000000000044</v>
      </c>
    </row>
    <row r="29" spans="1:53" x14ac:dyDescent="0.2">
      <c r="A29" s="169">
        <f t="shared" si="17"/>
        <v>1.1428571428571428</v>
      </c>
      <c r="B29" s="101">
        <v>4</v>
      </c>
      <c r="C29" s="113">
        <v>8</v>
      </c>
      <c r="D29" s="161">
        <f t="shared" si="12"/>
        <v>1120.0000000000002</v>
      </c>
      <c r="E29" s="161">
        <f t="shared" si="12"/>
        <v>1199.2000000000003</v>
      </c>
      <c r="F29" s="161">
        <f t="shared" si="12"/>
        <v>1278.4000000000003</v>
      </c>
      <c r="G29" s="161">
        <f t="shared" si="12"/>
        <v>1357.6000000000004</v>
      </c>
      <c r="H29" s="161">
        <f t="shared" si="12"/>
        <v>1436.8000000000002</v>
      </c>
      <c r="I29" s="158">
        <f t="shared" si="12"/>
        <v>1516.0000000000005</v>
      </c>
      <c r="J29" s="158">
        <f t="shared" si="12"/>
        <v>1595.2000000000003</v>
      </c>
      <c r="K29" s="158">
        <f t="shared" si="12"/>
        <v>1674.4000000000003</v>
      </c>
      <c r="L29" s="158">
        <f t="shared" si="12"/>
        <v>1753.6000000000001</v>
      </c>
      <c r="M29" s="158">
        <f t="shared" si="12"/>
        <v>1832.8000000000002</v>
      </c>
      <c r="N29" s="158">
        <f t="shared" si="13"/>
        <v>1912</v>
      </c>
      <c r="O29" s="158">
        <f t="shared" si="13"/>
        <v>1991.2000000000003</v>
      </c>
      <c r="P29" s="158">
        <f t="shared" si="13"/>
        <v>2070.4</v>
      </c>
      <c r="Q29" s="158">
        <f t="shared" si="13"/>
        <v>2149.6000000000004</v>
      </c>
      <c r="R29" s="158">
        <f t="shared" si="13"/>
        <v>2228.8000000000002</v>
      </c>
      <c r="S29" s="158">
        <f t="shared" si="13"/>
        <v>2308</v>
      </c>
      <c r="T29" s="158">
        <f t="shared" si="13"/>
        <v>2387.1999999999998</v>
      </c>
      <c r="U29" s="158">
        <f t="shared" si="13"/>
        <v>2466.4</v>
      </c>
      <c r="V29" s="158">
        <f t="shared" si="13"/>
        <v>2545.6000000000004</v>
      </c>
      <c r="W29" s="158">
        <f t="shared" si="13"/>
        <v>2624.8</v>
      </c>
      <c r="X29" s="158">
        <f t="shared" si="14"/>
        <v>2704</v>
      </c>
      <c r="Y29" s="158">
        <f t="shared" si="14"/>
        <v>2783.2000000000003</v>
      </c>
      <c r="Z29" s="158">
        <f t="shared" si="14"/>
        <v>2862.4</v>
      </c>
      <c r="AA29" s="160">
        <f t="shared" si="14"/>
        <v>2941.6000000000004</v>
      </c>
      <c r="AB29" s="160">
        <f t="shared" si="14"/>
        <v>3020.8000000000006</v>
      </c>
      <c r="AC29" s="160">
        <f t="shared" si="14"/>
        <v>3100.0000000000009</v>
      </c>
      <c r="AD29" s="160">
        <f t="shared" si="14"/>
        <v>3179.2000000000007</v>
      </c>
      <c r="AE29" s="160">
        <f t="shared" si="14"/>
        <v>3258.400000000001</v>
      </c>
      <c r="AF29" s="160">
        <f t="shared" si="14"/>
        <v>3337.6000000000013</v>
      </c>
      <c r="AG29" s="160">
        <f t="shared" si="14"/>
        <v>3416.8000000000015</v>
      </c>
      <c r="AH29" s="160">
        <f t="shared" si="15"/>
        <v>3496.0000000000014</v>
      </c>
      <c r="AI29" s="160">
        <f t="shared" si="15"/>
        <v>3575.2000000000016</v>
      </c>
      <c r="AJ29" s="160">
        <f t="shared" si="15"/>
        <v>3654.4000000000019</v>
      </c>
      <c r="AK29" s="160">
        <f t="shared" si="15"/>
        <v>3733.6000000000022</v>
      </c>
      <c r="AL29" s="160">
        <f t="shared" si="15"/>
        <v>3812.800000000002</v>
      </c>
      <c r="AM29" s="160">
        <f t="shared" si="15"/>
        <v>3892.0000000000023</v>
      </c>
      <c r="AN29" s="160">
        <f t="shared" si="15"/>
        <v>3971.2000000000025</v>
      </c>
      <c r="AO29" s="160">
        <f t="shared" si="15"/>
        <v>4050.4000000000028</v>
      </c>
      <c r="AP29" s="160">
        <f t="shared" si="15"/>
        <v>4129.6000000000031</v>
      </c>
      <c r="AQ29" s="160">
        <f t="shared" si="15"/>
        <v>4208.8000000000029</v>
      </c>
      <c r="AR29" s="160">
        <f t="shared" si="16"/>
        <v>4288.0000000000027</v>
      </c>
      <c r="AS29" s="160">
        <f t="shared" si="16"/>
        <v>4367.2000000000035</v>
      </c>
      <c r="AT29" s="160">
        <f t="shared" si="16"/>
        <v>4446.4000000000033</v>
      </c>
      <c r="AU29" s="160">
        <f t="shared" si="16"/>
        <v>4525.600000000004</v>
      </c>
      <c r="AV29" s="160">
        <f t="shared" si="16"/>
        <v>4604.8000000000038</v>
      </c>
      <c r="AW29" s="160">
        <f t="shared" si="16"/>
        <v>4684.0000000000036</v>
      </c>
      <c r="AX29" s="160">
        <f t="shared" si="16"/>
        <v>4763.2000000000044</v>
      </c>
      <c r="AY29" s="160">
        <f t="shared" si="16"/>
        <v>4842.4000000000042</v>
      </c>
      <c r="AZ29" s="160">
        <f t="shared" si="16"/>
        <v>4921.600000000004</v>
      </c>
      <c r="BA29" s="160">
        <f t="shared" si="16"/>
        <v>5000.8000000000047</v>
      </c>
    </row>
    <row r="30" spans="1:53" x14ac:dyDescent="0.2">
      <c r="A30" s="169">
        <f t="shared" si="17"/>
        <v>1.125</v>
      </c>
      <c r="B30" s="101">
        <v>5</v>
      </c>
      <c r="C30" s="113">
        <v>9</v>
      </c>
      <c r="D30" s="161">
        <f t="shared" si="12"/>
        <v>1260.0000000000002</v>
      </c>
      <c r="E30" s="161">
        <f t="shared" si="12"/>
        <v>1349.1000000000004</v>
      </c>
      <c r="F30" s="161">
        <f t="shared" si="12"/>
        <v>1438.2000000000003</v>
      </c>
      <c r="G30" s="161">
        <f t="shared" si="12"/>
        <v>1527.3000000000004</v>
      </c>
      <c r="H30" s="161">
        <f t="shared" si="12"/>
        <v>1616.4</v>
      </c>
      <c r="I30" s="161">
        <f t="shared" si="12"/>
        <v>1705.5000000000005</v>
      </c>
      <c r="J30" s="162">
        <f t="shared" si="12"/>
        <v>1794.6000000000004</v>
      </c>
      <c r="K30" s="158">
        <f t="shared" si="12"/>
        <v>1883.7000000000003</v>
      </c>
      <c r="L30" s="158">
        <f t="shared" si="12"/>
        <v>1972.8000000000002</v>
      </c>
      <c r="M30" s="158">
        <f t="shared" si="12"/>
        <v>2061.9</v>
      </c>
      <c r="N30" s="158">
        <f t="shared" si="13"/>
        <v>2151</v>
      </c>
      <c r="O30" s="158">
        <f t="shared" si="13"/>
        <v>2240.1000000000004</v>
      </c>
      <c r="P30" s="158">
        <f t="shared" si="13"/>
        <v>2329.2000000000003</v>
      </c>
      <c r="Q30" s="158">
        <f t="shared" si="13"/>
        <v>2418.3000000000002</v>
      </c>
      <c r="R30" s="158">
        <f t="shared" si="13"/>
        <v>2507.4</v>
      </c>
      <c r="S30" s="158">
        <f t="shared" si="13"/>
        <v>2596.5</v>
      </c>
      <c r="T30" s="158">
        <f t="shared" si="13"/>
        <v>2685.6</v>
      </c>
      <c r="U30" s="158">
        <f t="shared" si="13"/>
        <v>2774.7000000000003</v>
      </c>
      <c r="V30" s="158">
        <f t="shared" si="13"/>
        <v>2863.8</v>
      </c>
      <c r="W30" s="158">
        <f t="shared" si="13"/>
        <v>2952.9</v>
      </c>
      <c r="X30" s="158">
        <f t="shared" si="14"/>
        <v>3042</v>
      </c>
      <c r="Y30" s="158">
        <f t="shared" si="14"/>
        <v>3131.1000000000004</v>
      </c>
      <c r="Z30" s="158">
        <f t="shared" si="14"/>
        <v>3220.2000000000003</v>
      </c>
      <c r="AA30" s="160">
        <f t="shared" si="14"/>
        <v>3309.3</v>
      </c>
      <c r="AB30" s="160">
        <f t="shared" si="14"/>
        <v>3398.4000000000005</v>
      </c>
      <c r="AC30" s="160">
        <f t="shared" si="14"/>
        <v>3487.5000000000009</v>
      </c>
      <c r="AD30" s="160">
        <f t="shared" si="14"/>
        <v>3576.6000000000008</v>
      </c>
      <c r="AE30" s="160">
        <f t="shared" si="14"/>
        <v>3665.7000000000012</v>
      </c>
      <c r="AF30" s="160">
        <f t="shared" si="14"/>
        <v>3754.8000000000015</v>
      </c>
      <c r="AG30" s="160">
        <f t="shared" si="14"/>
        <v>3843.9000000000019</v>
      </c>
      <c r="AH30" s="160">
        <f t="shared" si="15"/>
        <v>3933.0000000000014</v>
      </c>
      <c r="AI30" s="160">
        <f t="shared" si="15"/>
        <v>4022.1000000000017</v>
      </c>
      <c r="AJ30" s="160">
        <f t="shared" si="15"/>
        <v>4111.2000000000025</v>
      </c>
      <c r="AK30" s="160">
        <f t="shared" si="15"/>
        <v>4200.3000000000029</v>
      </c>
      <c r="AL30" s="160">
        <f t="shared" si="15"/>
        <v>4289.4000000000024</v>
      </c>
      <c r="AM30" s="160">
        <f t="shared" si="15"/>
        <v>4378.5000000000027</v>
      </c>
      <c r="AN30" s="160">
        <f t="shared" si="15"/>
        <v>4467.6000000000031</v>
      </c>
      <c r="AO30" s="160">
        <f t="shared" si="15"/>
        <v>4556.7000000000035</v>
      </c>
      <c r="AP30" s="160">
        <f t="shared" si="15"/>
        <v>4645.8000000000038</v>
      </c>
      <c r="AQ30" s="160">
        <f t="shared" si="15"/>
        <v>4734.9000000000033</v>
      </c>
      <c r="AR30" s="160">
        <f t="shared" si="16"/>
        <v>4824.0000000000027</v>
      </c>
      <c r="AS30" s="160">
        <f t="shared" si="16"/>
        <v>4913.100000000004</v>
      </c>
      <c r="AT30" s="160">
        <f t="shared" si="16"/>
        <v>5002.2000000000035</v>
      </c>
      <c r="AU30" s="160">
        <f t="shared" si="16"/>
        <v>5091.3000000000047</v>
      </c>
      <c r="AV30" s="160">
        <f t="shared" si="16"/>
        <v>5180.4000000000042</v>
      </c>
      <c r="AW30" s="160">
        <f t="shared" si="16"/>
        <v>5269.5000000000036</v>
      </c>
      <c r="AX30" s="160">
        <f t="shared" si="16"/>
        <v>5358.6000000000049</v>
      </c>
      <c r="AY30" s="160">
        <f t="shared" si="16"/>
        <v>5447.7000000000044</v>
      </c>
      <c r="AZ30" s="160">
        <f t="shared" si="16"/>
        <v>5536.8000000000047</v>
      </c>
      <c r="BA30" s="160">
        <f t="shared" si="16"/>
        <v>5625.9000000000051</v>
      </c>
    </row>
    <row r="31" spans="1:53" x14ac:dyDescent="0.2">
      <c r="A31" s="169">
        <f t="shared" si="17"/>
        <v>1.1111111111111112</v>
      </c>
      <c r="B31" s="101">
        <v>6</v>
      </c>
      <c r="C31" s="113">
        <v>10</v>
      </c>
      <c r="D31" s="161">
        <f t="shared" si="12"/>
        <v>1400.0000000000002</v>
      </c>
      <c r="E31" s="161">
        <f t="shared" si="12"/>
        <v>1499.0000000000005</v>
      </c>
      <c r="F31" s="161">
        <f t="shared" si="12"/>
        <v>1598.0000000000005</v>
      </c>
      <c r="G31" s="161">
        <f t="shared" si="12"/>
        <v>1697.0000000000005</v>
      </c>
      <c r="H31" s="161">
        <f t="shared" si="12"/>
        <v>1796.0000000000002</v>
      </c>
      <c r="I31" s="161">
        <f t="shared" si="12"/>
        <v>1895.0000000000005</v>
      </c>
      <c r="J31" s="161">
        <f t="shared" si="12"/>
        <v>1994.0000000000005</v>
      </c>
      <c r="K31" s="161">
        <f t="shared" si="12"/>
        <v>2093.0000000000005</v>
      </c>
      <c r="L31" s="158">
        <f t="shared" si="12"/>
        <v>2192</v>
      </c>
      <c r="M31" s="158">
        <f t="shared" si="12"/>
        <v>2291</v>
      </c>
      <c r="N31" s="158">
        <f t="shared" si="13"/>
        <v>2390</v>
      </c>
      <c r="O31" s="158">
        <f t="shared" si="13"/>
        <v>2489.0000000000005</v>
      </c>
      <c r="P31" s="158">
        <f t="shared" si="13"/>
        <v>2588</v>
      </c>
      <c r="Q31" s="158">
        <f t="shared" si="13"/>
        <v>2687.0000000000005</v>
      </c>
      <c r="R31" s="158">
        <f t="shared" si="13"/>
        <v>2786</v>
      </c>
      <c r="S31" s="158">
        <f t="shared" si="13"/>
        <v>2885</v>
      </c>
      <c r="T31" s="158">
        <f t="shared" si="13"/>
        <v>2984</v>
      </c>
      <c r="U31" s="158">
        <f t="shared" si="13"/>
        <v>3083</v>
      </c>
      <c r="V31" s="158">
        <f t="shared" si="13"/>
        <v>3182.0000000000005</v>
      </c>
      <c r="W31" s="158">
        <f t="shared" si="13"/>
        <v>3281</v>
      </c>
      <c r="X31" s="158">
        <f t="shared" si="14"/>
        <v>3380</v>
      </c>
      <c r="Y31" s="158">
        <f t="shared" si="14"/>
        <v>3479.0000000000005</v>
      </c>
      <c r="Z31" s="158">
        <f t="shared" si="14"/>
        <v>3578</v>
      </c>
      <c r="AA31" s="160">
        <f t="shared" si="14"/>
        <v>3677.0000000000005</v>
      </c>
      <c r="AB31" s="160">
        <f t="shared" si="14"/>
        <v>3776.0000000000009</v>
      </c>
      <c r="AC31" s="160">
        <f t="shared" si="14"/>
        <v>3875.0000000000009</v>
      </c>
      <c r="AD31" s="160">
        <f t="shared" si="14"/>
        <v>3974.0000000000009</v>
      </c>
      <c r="AE31" s="160">
        <f t="shared" si="14"/>
        <v>4073.0000000000014</v>
      </c>
      <c r="AF31" s="160">
        <f t="shared" si="14"/>
        <v>4172.0000000000018</v>
      </c>
      <c r="AG31" s="160">
        <f t="shared" si="14"/>
        <v>4271.0000000000018</v>
      </c>
      <c r="AH31" s="160">
        <f t="shared" si="15"/>
        <v>4370.0000000000018</v>
      </c>
      <c r="AI31" s="160">
        <f t="shared" si="15"/>
        <v>4469.0000000000018</v>
      </c>
      <c r="AJ31" s="160">
        <f t="shared" si="15"/>
        <v>4568.0000000000027</v>
      </c>
      <c r="AK31" s="160">
        <f t="shared" si="15"/>
        <v>4667.0000000000027</v>
      </c>
      <c r="AL31" s="160">
        <f t="shared" si="15"/>
        <v>4766.0000000000027</v>
      </c>
      <c r="AM31" s="160">
        <f t="shared" si="15"/>
        <v>4865.0000000000027</v>
      </c>
      <c r="AN31" s="160">
        <f t="shared" si="15"/>
        <v>4964.0000000000036</v>
      </c>
      <c r="AO31" s="160">
        <f t="shared" si="15"/>
        <v>5063.0000000000036</v>
      </c>
      <c r="AP31" s="160">
        <f t="shared" si="15"/>
        <v>5162.0000000000036</v>
      </c>
      <c r="AQ31" s="160">
        <f t="shared" si="15"/>
        <v>5261.0000000000036</v>
      </c>
      <c r="AR31" s="160">
        <f t="shared" si="16"/>
        <v>5360.0000000000036</v>
      </c>
      <c r="AS31" s="160">
        <f t="shared" si="16"/>
        <v>5459.0000000000045</v>
      </c>
      <c r="AT31" s="160">
        <f t="shared" si="16"/>
        <v>5558.0000000000036</v>
      </c>
      <c r="AU31" s="160">
        <f t="shared" si="16"/>
        <v>5657.0000000000055</v>
      </c>
      <c r="AV31" s="160">
        <f t="shared" si="16"/>
        <v>5756.0000000000045</v>
      </c>
      <c r="AW31" s="160">
        <f t="shared" si="16"/>
        <v>5855.0000000000045</v>
      </c>
      <c r="AX31" s="160">
        <f t="shared" si="16"/>
        <v>5954.0000000000055</v>
      </c>
      <c r="AY31" s="160">
        <f t="shared" si="16"/>
        <v>6053.0000000000055</v>
      </c>
      <c r="AZ31" s="160">
        <f t="shared" si="16"/>
        <v>6152.0000000000055</v>
      </c>
      <c r="BA31" s="160">
        <f t="shared" si="16"/>
        <v>6251.0000000000055</v>
      </c>
    </row>
    <row r="32" spans="1:53" x14ac:dyDescent="0.2">
      <c r="A32" s="169">
        <f t="shared" si="17"/>
        <v>1.1000000000000001</v>
      </c>
      <c r="B32" s="101">
        <v>7</v>
      </c>
      <c r="C32" s="113">
        <v>11</v>
      </c>
      <c r="D32" s="161">
        <f t="shared" si="12"/>
        <v>1540.0000000000002</v>
      </c>
      <c r="E32" s="161">
        <f t="shared" si="12"/>
        <v>1648.9000000000003</v>
      </c>
      <c r="F32" s="161">
        <f t="shared" si="12"/>
        <v>1757.8000000000004</v>
      </c>
      <c r="G32" s="161">
        <f t="shared" si="12"/>
        <v>1866.7000000000005</v>
      </c>
      <c r="H32" s="161">
        <f t="shared" si="12"/>
        <v>1975.6000000000004</v>
      </c>
      <c r="I32" s="161">
        <f t="shared" si="12"/>
        <v>2084.5000000000005</v>
      </c>
      <c r="J32" s="161">
        <f t="shared" si="12"/>
        <v>2193.4000000000005</v>
      </c>
      <c r="K32" s="161">
        <f t="shared" si="12"/>
        <v>2302.3000000000006</v>
      </c>
      <c r="L32" s="161">
        <f t="shared" si="12"/>
        <v>2411.2000000000003</v>
      </c>
      <c r="M32" s="160">
        <f t="shared" si="12"/>
        <v>2520.1000000000004</v>
      </c>
      <c r="N32" s="158">
        <f t="shared" si="13"/>
        <v>2629</v>
      </c>
      <c r="O32" s="158">
        <f t="shared" si="13"/>
        <v>2737.9000000000005</v>
      </c>
      <c r="P32" s="158">
        <f t="shared" si="13"/>
        <v>2846.8</v>
      </c>
      <c r="Q32" s="158">
        <f t="shared" si="13"/>
        <v>2955.7000000000007</v>
      </c>
      <c r="R32" s="158">
        <f t="shared" si="13"/>
        <v>3064.6000000000004</v>
      </c>
      <c r="S32" s="158">
        <f t="shared" si="13"/>
        <v>3173.5</v>
      </c>
      <c r="T32" s="158">
        <f t="shared" si="13"/>
        <v>3282.3999999999996</v>
      </c>
      <c r="U32" s="158">
        <f t="shared" si="13"/>
        <v>3391.3</v>
      </c>
      <c r="V32" s="158">
        <f t="shared" si="13"/>
        <v>3500.2000000000007</v>
      </c>
      <c r="W32" s="158">
        <f t="shared" si="13"/>
        <v>3609.1000000000004</v>
      </c>
      <c r="X32" s="158">
        <f t="shared" si="14"/>
        <v>3718</v>
      </c>
      <c r="Y32" s="158">
        <f t="shared" si="14"/>
        <v>3826.9000000000005</v>
      </c>
      <c r="Z32" s="158">
        <f t="shared" si="14"/>
        <v>3935.8</v>
      </c>
      <c r="AA32" s="160">
        <f t="shared" si="14"/>
        <v>4044.7000000000007</v>
      </c>
      <c r="AB32" s="160">
        <f t="shared" si="14"/>
        <v>4153.6000000000013</v>
      </c>
      <c r="AC32" s="160">
        <f t="shared" si="14"/>
        <v>4262.5000000000009</v>
      </c>
      <c r="AD32" s="160">
        <f t="shared" si="14"/>
        <v>4371.4000000000015</v>
      </c>
      <c r="AE32" s="160">
        <f t="shared" si="14"/>
        <v>4480.3000000000011</v>
      </c>
      <c r="AF32" s="160">
        <f t="shared" si="14"/>
        <v>4589.2000000000016</v>
      </c>
      <c r="AG32" s="160">
        <f t="shared" si="14"/>
        <v>4698.1000000000022</v>
      </c>
      <c r="AH32" s="160">
        <f t="shared" si="15"/>
        <v>4807.0000000000018</v>
      </c>
      <c r="AI32" s="160">
        <f t="shared" si="15"/>
        <v>4915.9000000000024</v>
      </c>
      <c r="AJ32" s="160">
        <f t="shared" si="15"/>
        <v>5024.8000000000029</v>
      </c>
      <c r="AK32" s="160">
        <f t="shared" si="15"/>
        <v>5133.7000000000025</v>
      </c>
      <c r="AL32" s="160">
        <f t="shared" si="15"/>
        <v>5242.6000000000031</v>
      </c>
      <c r="AM32" s="160">
        <f t="shared" si="15"/>
        <v>5351.5000000000027</v>
      </c>
      <c r="AN32" s="160">
        <f t="shared" si="15"/>
        <v>5460.4000000000033</v>
      </c>
      <c r="AO32" s="160">
        <f t="shared" si="15"/>
        <v>5569.3000000000038</v>
      </c>
      <c r="AP32" s="160">
        <f t="shared" si="15"/>
        <v>5678.2000000000044</v>
      </c>
      <c r="AQ32" s="160">
        <f t="shared" si="15"/>
        <v>5787.100000000004</v>
      </c>
      <c r="AR32" s="160">
        <f t="shared" si="16"/>
        <v>5896.0000000000036</v>
      </c>
      <c r="AS32" s="160">
        <f t="shared" si="16"/>
        <v>6004.9000000000051</v>
      </c>
      <c r="AT32" s="160">
        <f t="shared" si="16"/>
        <v>6113.8000000000047</v>
      </c>
      <c r="AU32" s="160">
        <f t="shared" si="16"/>
        <v>6222.7000000000053</v>
      </c>
      <c r="AV32" s="160">
        <f t="shared" si="16"/>
        <v>6331.6000000000049</v>
      </c>
      <c r="AW32" s="160">
        <f t="shared" si="16"/>
        <v>6440.5000000000055</v>
      </c>
      <c r="AX32" s="160">
        <f t="shared" si="16"/>
        <v>6549.400000000006</v>
      </c>
      <c r="AY32" s="160">
        <f t="shared" si="16"/>
        <v>6658.3000000000056</v>
      </c>
      <c r="AZ32" s="160">
        <f t="shared" si="16"/>
        <v>6767.2000000000053</v>
      </c>
      <c r="BA32" s="160">
        <f t="shared" si="16"/>
        <v>6876.1000000000067</v>
      </c>
    </row>
    <row r="33" spans="1:53" x14ac:dyDescent="0.2">
      <c r="A33" s="169">
        <f t="shared" si="17"/>
        <v>1.0909090909090908</v>
      </c>
      <c r="B33" s="101">
        <v>8</v>
      </c>
      <c r="C33" s="113">
        <v>12</v>
      </c>
      <c r="D33" s="161">
        <f t="shared" si="12"/>
        <v>1680.0000000000005</v>
      </c>
      <c r="E33" s="161">
        <f t="shared" si="12"/>
        <v>1798.8000000000004</v>
      </c>
      <c r="F33" s="161">
        <f t="shared" si="12"/>
        <v>1917.6000000000004</v>
      </c>
      <c r="G33" s="161">
        <f t="shared" si="12"/>
        <v>2036.4000000000005</v>
      </c>
      <c r="H33" s="161">
        <f t="shared" si="12"/>
        <v>2155.2000000000003</v>
      </c>
      <c r="I33" s="161">
        <f t="shared" si="12"/>
        <v>2274.0000000000009</v>
      </c>
      <c r="J33" s="161">
        <f t="shared" si="12"/>
        <v>2392.8000000000002</v>
      </c>
      <c r="K33" s="161">
        <f t="shared" si="12"/>
        <v>2511.6000000000004</v>
      </c>
      <c r="L33" s="161">
        <f t="shared" si="12"/>
        <v>2630.4</v>
      </c>
      <c r="M33" s="161">
        <f t="shared" si="12"/>
        <v>2749.2000000000003</v>
      </c>
      <c r="N33" s="161">
        <f t="shared" si="13"/>
        <v>2868</v>
      </c>
      <c r="O33" s="158">
        <f t="shared" si="13"/>
        <v>2986.8</v>
      </c>
      <c r="P33" s="158">
        <f t="shared" si="13"/>
        <v>3105.6000000000004</v>
      </c>
      <c r="Q33" s="158">
        <f t="shared" si="13"/>
        <v>3224.4000000000005</v>
      </c>
      <c r="R33" s="158">
        <f t="shared" si="13"/>
        <v>3343.2000000000003</v>
      </c>
      <c r="S33" s="158">
        <f t="shared" si="13"/>
        <v>3462</v>
      </c>
      <c r="T33" s="158">
        <f t="shared" si="13"/>
        <v>3580.7999999999997</v>
      </c>
      <c r="U33" s="158">
        <f t="shared" si="13"/>
        <v>3699.6000000000004</v>
      </c>
      <c r="V33" s="158">
        <f t="shared" si="13"/>
        <v>3818.4000000000005</v>
      </c>
      <c r="W33" s="158">
        <f t="shared" si="13"/>
        <v>3937.2000000000003</v>
      </c>
      <c r="X33" s="158">
        <f t="shared" si="14"/>
        <v>4056</v>
      </c>
      <c r="Y33" s="158">
        <f t="shared" si="14"/>
        <v>4174.8</v>
      </c>
      <c r="Z33" s="158">
        <f t="shared" si="14"/>
        <v>4293.6000000000004</v>
      </c>
      <c r="AA33" s="160">
        <f t="shared" si="14"/>
        <v>4412.4000000000005</v>
      </c>
      <c r="AB33" s="160">
        <f t="shared" si="14"/>
        <v>4531.2000000000007</v>
      </c>
      <c r="AC33" s="160">
        <f t="shared" si="14"/>
        <v>4650.0000000000018</v>
      </c>
      <c r="AD33" s="160">
        <f t="shared" si="14"/>
        <v>4768.8000000000011</v>
      </c>
      <c r="AE33" s="160">
        <f t="shared" si="14"/>
        <v>4887.6000000000013</v>
      </c>
      <c r="AF33" s="160">
        <f t="shared" si="14"/>
        <v>5006.4000000000015</v>
      </c>
      <c r="AG33" s="160">
        <f t="shared" si="14"/>
        <v>5125.2000000000025</v>
      </c>
      <c r="AH33" s="160">
        <f t="shared" si="15"/>
        <v>5244.0000000000018</v>
      </c>
      <c r="AI33" s="160">
        <f t="shared" si="15"/>
        <v>5362.8000000000029</v>
      </c>
      <c r="AJ33" s="160">
        <f t="shared" si="15"/>
        <v>5481.6000000000031</v>
      </c>
      <c r="AK33" s="160">
        <f t="shared" si="15"/>
        <v>5600.4000000000033</v>
      </c>
      <c r="AL33" s="160">
        <f t="shared" si="15"/>
        <v>5719.2000000000025</v>
      </c>
      <c r="AM33" s="160">
        <f t="shared" si="15"/>
        <v>5838.0000000000036</v>
      </c>
      <c r="AN33" s="160">
        <f t="shared" si="15"/>
        <v>5956.8000000000038</v>
      </c>
      <c r="AO33" s="160">
        <f t="shared" si="15"/>
        <v>6075.600000000004</v>
      </c>
      <c r="AP33" s="160">
        <f t="shared" si="15"/>
        <v>6194.4000000000051</v>
      </c>
      <c r="AQ33" s="160">
        <f t="shared" si="15"/>
        <v>6313.2000000000044</v>
      </c>
      <c r="AR33" s="160">
        <f t="shared" si="16"/>
        <v>6432.0000000000036</v>
      </c>
      <c r="AS33" s="160">
        <f t="shared" si="16"/>
        <v>6550.8000000000047</v>
      </c>
      <c r="AT33" s="160">
        <f t="shared" si="16"/>
        <v>6669.6000000000049</v>
      </c>
      <c r="AU33" s="160">
        <f t="shared" si="16"/>
        <v>6788.400000000006</v>
      </c>
      <c r="AV33" s="160">
        <f t="shared" si="16"/>
        <v>6907.2000000000062</v>
      </c>
      <c r="AW33" s="160">
        <f t="shared" si="16"/>
        <v>7026.0000000000055</v>
      </c>
      <c r="AX33" s="160">
        <f t="shared" si="16"/>
        <v>7144.8000000000065</v>
      </c>
      <c r="AY33" s="160">
        <f t="shared" si="16"/>
        <v>7263.6000000000058</v>
      </c>
      <c r="AZ33" s="160">
        <f t="shared" si="16"/>
        <v>7382.400000000006</v>
      </c>
      <c r="BA33" s="160">
        <f t="shared" si="16"/>
        <v>7501.2000000000071</v>
      </c>
    </row>
    <row r="34" spans="1:53" x14ac:dyDescent="0.2">
      <c r="A34" s="169">
        <f t="shared" si="17"/>
        <v>1.0833333333333333</v>
      </c>
      <c r="B34" s="101">
        <v>9</v>
      </c>
      <c r="C34" s="113">
        <v>13</v>
      </c>
      <c r="D34" s="161">
        <f t="shared" si="12"/>
        <v>1820.0000000000005</v>
      </c>
      <c r="E34" s="161">
        <f t="shared" si="12"/>
        <v>1948.7000000000005</v>
      </c>
      <c r="F34" s="161">
        <f t="shared" si="12"/>
        <v>2077.4000000000005</v>
      </c>
      <c r="G34" s="161">
        <f t="shared" si="12"/>
        <v>2206.1000000000004</v>
      </c>
      <c r="H34" s="161">
        <f t="shared" si="12"/>
        <v>2334.8000000000002</v>
      </c>
      <c r="I34" s="161">
        <f t="shared" si="12"/>
        <v>2463.5000000000009</v>
      </c>
      <c r="J34" s="161">
        <f t="shared" si="12"/>
        <v>2592.2000000000003</v>
      </c>
      <c r="K34" s="161">
        <f t="shared" si="12"/>
        <v>2720.9000000000005</v>
      </c>
      <c r="L34" s="161">
        <f t="shared" si="12"/>
        <v>2849.6000000000004</v>
      </c>
      <c r="M34" s="161">
        <f t="shared" si="12"/>
        <v>2978.3</v>
      </c>
      <c r="N34" s="161">
        <f t="shared" si="13"/>
        <v>3107</v>
      </c>
      <c r="O34" s="161">
        <f t="shared" si="13"/>
        <v>3235.7000000000003</v>
      </c>
      <c r="P34" s="158">
        <f t="shared" si="13"/>
        <v>3364.4</v>
      </c>
      <c r="Q34" s="158">
        <f t="shared" si="13"/>
        <v>3493.1000000000004</v>
      </c>
      <c r="R34" s="158">
        <f t="shared" si="13"/>
        <v>3621.8</v>
      </c>
      <c r="S34" s="158">
        <f t="shared" si="13"/>
        <v>3750.5</v>
      </c>
      <c r="T34" s="158">
        <f t="shared" si="13"/>
        <v>3879.2</v>
      </c>
      <c r="U34" s="158">
        <f t="shared" si="13"/>
        <v>4007.9</v>
      </c>
      <c r="V34" s="158">
        <f t="shared" si="13"/>
        <v>4136.6000000000004</v>
      </c>
      <c r="W34" s="158">
        <f t="shared" si="13"/>
        <v>4265.3</v>
      </c>
      <c r="X34" s="158">
        <f t="shared" si="14"/>
        <v>4394</v>
      </c>
      <c r="Y34" s="158">
        <f t="shared" si="14"/>
        <v>4522.7000000000007</v>
      </c>
      <c r="Z34" s="158">
        <f t="shared" si="14"/>
        <v>4651.4000000000005</v>
      </c>
      <c r="AA34" s="160">
        <f t="shared" si="14"/>
        <v>4780.1000000000004</v>
      </c>
      <c r="AB34" s="160">
        <f t="shared" si="14"/>
        <v>4908.8000000000011</v>
      </c>
      <c r="AC34" s="160">
        <f t="shared" si="14"/>
        <v>5037.5000000000018</v>
      </c>
      <c r="AD34" s="160">
        <f t="shared" si="14"/>
        <v>5166.2000000000007</v>
      </c>
      <c r="AE34" s="160">
        <f t="shared" si="14"/>
        <v>5294.9000000000015</v>
      </c>
      <c r="AF34" s="160">
        <f t="shared" si="14"/>
        <v>5423.6000000000022</v>
      </c>
      <c r="AG34" s="160">
        <f t="shared" si="14"/>
        <v>5552.3000000000029</v>
      </c>
      <c r="AH34" s="160">
        <f t="shared" si="15"/>
        <v>5681.0000000000018</v>
      </c>
      <c r="AI34" s="160">
        <f t="shared" si="15"/>
        <v>5809.7000000000025</v>
      </c>
      <c r="AJ34" s="160">
        <f t="shared" si="15"/>
        <v>5938.4000000000033</v>
      </c>
      <c r="AK34" s="160">
        <f t="shared" si="15"/>
        <v>6067.100000000004</v>
      </c>
      <c r="AL34" s="160">
        <f t="shared" si="15"/>
        <v>6195.8000000000029</v>
      </c>
      <c r="AM34" s="160">
        <f t="shared" si="15"/>
        <v>6324.5000000000036</v>
      </c>
      <c r="AN34" s="160">
        <f t="shared" si="15"/>
        <v>6453.2000000000044</v>
      </c>
      <c r="AO34" s="160">
        <f t="shared" si="15"/>
        <v>6581.9000000000042</v>
      </c>
      <c r="AP34" s="160">
        <f t="shared" si="15"/>
        <v>6710.6000000000049</v>
      </c>
      <c r="AQ34" s="160">
        <f t="shared" si="15"/>
        <v>6839.3000000000047</v>
      </c>
      <c r="AR34" s="160">
        <f t="shared" si="16"/>
        <v>6968.0000000000045</v>
      </c>
      <c r="AS34" s="160">
        <f t="shared" si="16"/>
        <v>7096.7000000000053</v>
      </c>
      <c r="AT34" s="160">
        <f t="shared" si="16"/>
        <v>7225.4000000000051</v>
      </c>
      <c r="AU34" s="160">
        <f t="shared" si="16"/>
        <v>7354.1000000000067</v>
      </c>
      <c r="AV34" s="160">
        <f t="shared" si="16"/>
        <v>7482.8000000000065</v>
      </c>
      <c r="AW34" s="160">
        <f t="shared" si="16"/>
        <v>7611.5000000000055</v>
      </c>
      <c r="AX34" s="160">
        <f t="shared" si="16"/>
        <v>7740.2000000000071</v>
      </c>
      <c r="AY34" s="160">
        <f t="shared" si="16"/>
        <v>7868.9000000000069</v>
      </c>
      <c r="AZ34" s="160">
        <f t="shared" si="16"/>
        <v>7997.6000000000067</v>
      </c>
      <c r="BA34" s="160">
        <f t="shared" si="16"/>
        <v>8126.3000000000075</v>
      </c>
    </row>
    <row r="35" spans="1:53" x14ac:dyDescent="0.2">
      <c r="A35" s="169">
        <f t="shared" si="17"/>
        <v>1.0769230769230769</v>
      </c>
      <c r="B35" s="101">
        <v>10</v>
      </c>
      <c r="C35" s="113">
        <v>14</v>
      </c>
      <c r="D35" s="161">
        <f t="shared" si="12"/>
        <v>1960.0000000000005</v>
      </c>
      <c r="E35" s="161">
        <f t="shared" si="12"/>
        <v>2098.6000000000004</v>
      </c>
      <c r="F35" s="161">
        <f t="shared" si="12"/>
        <v>2237.2000000000007</v>
      </c>
      <c r="G35" s="161">
        <f t="shared" si="12"/>
        <v>2375.8000000000006</v>
      </c>
      <c r="H35" s="161">
        <f t="shared" si="12"/>
        <v>2514.4000000000005</v>
      </c>
      <c r="I35" s="161">
        <f t="shared" si="12"/>
        <v>2653.0000000000009</v>
      </c>
      <c r="J35" s="161">
        <f t="shared" si="12"/>
        <v>2791.6000000000004</v>
      </c>
      <c r="K35" s="161">
        <f t="shared" si="12"/>
        <v>2930.2000000000007</v>
      </c>
      <c r="L35" s="161">
        <f t="shared" si="12"/>
        <v>3068.8</v>
      </c>
      <c r="M35" s="161">
        <f t="shared" si="12"/>
        <v>3207.4000000000005</v>
      </c>
      <c r="N35" s="161">
        <f t="shared" si="13"/>
        <v>3346</v>
      </c>
      <c r="O35" s="161">
        <f t="shared" si="13"/>
        <v>3484.6000000000004</v>
      </c>
      <c r="P35" s="161">
        <f t="shared" si="13"/>
        <v>3623.2000000000003</v>
      </c>
      <c r="Q35" s="161">
        <f t="shared" si="13"/>
        <v>3761.8000000000006</v>
      </c>
      <c r="R35" s="158">
        <f t="shared" si="13"/>
        <v>3900.4000000000005</v>
      </c>
      <c r="S35" s="158">
        <f t="shared" si="13"/>
        <v>4039</v>
      </c>
      <c r="T35" s="158">
        <f t="shared" si="13"/>
        <v>4177.5999999999995</v>
      </c>
      <c r="U35" s="158">
        <f t="shared" si="13"/>
        <v>4316.2</v>
      </c>
      <c r="V35" s="158">
        <f t="shared" si="13"/>
        <v>4454.8000000000011</v>
      </c>
      <c r="W35" s="158">
        <f t="shared" si="13"/>
        <v>4593.4000000000005</v>
      </c>
      <c r="X35" s="158">
        <f t="shared" si="14"/>
        <v>4732</v>
      </c>
      <c r="Y35" s="158">
        <f t="shared" si="14"/>
        <v>4870.6000000000004</v>
      </c>
      <c r="Z35" s="158">
        <f t="shared" si="14"/>
        <v>5009.2</v>
      </c>
      <c r="AA35" s="160">
        <f t="shared" si="14"/>
        <v>5147.8000000000011</v>
      </c>
      <c r="AB35" s="160">
        <f t="shared" si="14"/>
        <v>5286.4000000000015</v>
      </c>
      <c r="AC35" s="160">
        <f t="shared" si="14"/>
        <v>5425.0000000000018</v>
      </c>
      <c r="AD35" s="160">
        <f t="shared" si="14"/>
        <v>5563.6000000000013</v>
      </c>
      <c r="AE35" s="160">
        <f t="shared" si="14"/>
        <v>5702.2000000000016</v>
      </c>
      <c r="AF35" s="160">
        <f t="shared" si="14"/>
        <v>5840.800000000002</v>
      </c>
      <c r="AG35" s="160">
        <f t="shared" si="14"/>
        <v>5979.4000000000024</v>
      </c>
      <c r="AH35" s="160">
        <f t="shared" si="15"/>
        <v>6118.0000000000027</v>
      </c>
      <c r="AI35" s="160">
        <f t="shared" si="15"/>
        <v>6256.6000000000031</v>
      </c>
      <c r="AJ35" s="160">
        <f t="shared" si="15"/>
        <v>6395.2000000000035</v>
      </c>
      <c r="AK35" s="160">
        <f t="shared" si="15"/>
        <v>6533.8000000000038</v>
      </c>
      <c r="AL35" s="160">
        <f t="shared" si="15"/>
        <v>6672.4000000000033</v>
      </c>
      <c r="AM35" s="160">
        <f t="shared" si="15"/>
        <v>6811.0000000000036</v>
      </c>
      <c r="AN35" s="160">
        <f t="shared" si="15"/>
        <v>6949.600000000004</v>
      </c>
      <c r="AO35" s="160">
        <f t="shared" si="15"/>
        <v>7088.2000000000053</v>
      </c>
      <c r="AP35" s="160">
        <f t="shared" si="15"/>
        <v>7226.8000000000056</v>
      </c>
      <c r="AQ35" s="160">
        <f t="shared" si="15"/>
        <v>7365.4000000000051</v>
      </c>
      <c r="AR35" s="160">
        <f t="shared" si="16"/>
        <v>7504.0000000000045</v>
      </c>
      <c r="AS35" s="160">
        <f t="shared" si="16"/>
        <v>7642.6000000000058</v>
      </c>
      <c r="AT35" s="160">
        <f t="shared" si="16"/>
        <v>7781.2000000000062</v>
      </c>
      <c r="AU35" s="160">
        <f t="shared" si="16"/>
        <v>7919.8000000000065</v>
      </c>
      <c r="AV35" s="160">
        <f t="shared" si="16"/>
        <v>8058.4000000000069</v>
      </c>
      <c r="AW35" s="160">
        <f t="shared" si="16"/>
        <v>8197.0000000000073</v>
      </c>
      <c r="AX35" s="160">
        <f t="shared" si="16"/>
        <v>8335.6000000000076</v>
      </c>
      <c r="AY35" s="160">
        <f t="shared" si="16"/>
        <v>8474.200000000008</v>
      </c>
      <c r="AZ35" s="160">
        <f t="shared" si="16"/>
        <v>8612.8000000000065</v>
      </c>
      <c r="BA35" s="160">
        <f t="shared" si="16"/>
        <v>8751.4000000000087</v>
      </c>
    </row>
    <row r="36" spans="1:53" x14ac:dyDescent="0.2">
      <c r="A36" s="169">
        <f t="shared" si="17"/>
        <v>1.0714285714285714</v>
      </c>
      <c r="B36" s="101">
        <v>11</v>
      </c>
      <c r="C36" s="113">
        <v>15</v>
      </c>
      <c r="D36" s="161">
        <f t="shared" ref="D36:M41" si="18">(base_score*($K$23+D$25)) * $C36</f>
        <v>2100.0000000000005</v>
      </c>
      <c r="E36" s="161">
        <f t="shared" si="18"/>
        <v>2248.5000000000005</v>
      </c>
      <c r="F36" s="161">
        <f t="shared" si="18"/>
        <v>2397.0000000000005</v>
      </c>
      <c r="G36" s="161">
        <f t="shared" si="18"/>
        <v>2545.5000000000009</v>
      </c>
      <c r="H36" s="161">
        <f t="shared" si="18"/>
        <v>2694.0000000000005</v>
      </c>
      <c r="I36" s="161">
        <f t="shared" si="18"/>
        <v>2842.5000000000009</v>
      </c>
      <c r="J36" s="161">
        <f t="shared" si="18"/>
        <v>2991.0000000000005</v>
      </c>
      <c r="K36" s="161">
        <f t="shared" si="18"/>
        <v>3139.5000000000005</v>
      </c>
      <c r="L36" s="161">
        <f t="shared" si="18"/>
        <v>3288.0000000000005</v>
      </c>
      <c r="M36" s="161">
        <f t="shared" si="18"/>
        <v>3436.5000000000005</v>
      </c>
      <c r="N36" s="161">
        <f t="shared" ref="N36:W41" si="19">(base_score*($K$23+N$25)) * $C36</f>
        <v>3585</v>
      </c>
      <c r="O36" s="161">
        <f t="shared" si="19"/>
        <v>3733.5000000000005</v>
      </c>
      <c r="P36" s="161">
        <f t="shared" si="19"/>
        <v>3882</v>
      </c>
      <c r="Q36" s="161">
        <f t="shared" si="19"/>
        <v>4030.5000000000009</v>
      </c>
      <c r="R36" s="161">
        <f t="shared" si="19"/>
        <v>4179</v>
      </c>
      <c r="S36" s="158">
        <f t="shared" si="19"/>
        <v>4327.5</v>
      </c>
      <c r="T36" s="158">
        <f t="shared" si="19"/>
        <v>4476</v>
      </c>
      <c r="U36" s="158">
        <f t="shared" si="19"/>
        <v>4624.5</v>
      </c>
      <c r="V36" s="158">
        <f t="shared" si="19"/>
        <v>4773.0000000000009</v>
      </c>
      <c r="W36" s="158">
        <f t="shared" si="19"/>
        <v>4921.5</v>
      </c>
      <c r="X36" s="158">
        <f t="shared" ref="X36:AG41" si="20">(base_score*($K$23+X$25)) * $C36</f>
        <v>5070</v>
      </c>
      <c r="Y36" s="160">
        <f t="shared" si="20"/>
        <v>5218.5000000000009</v>
      </c>
      <c r="Z36" s="158">
        <f t="shared" si="20"/>
        <v>5367</v>
      </c>
      <c r="AA36" s="160">
        <f t="shared" si="20"/>
        <v>5515.5000000000009</v>
      </c>
      <c r="AB36" s="160">
        <f t="shared" si="20"/>
        <v>5664.0000000000009</v>
      </c>
      <c r="AC36" s="160">
        <f t="shared" si="20"/>
        <v>5812.5000000000018</v>
      </c>
      <c r="AD36" s="160">
        <f t="shared" si="20"/>
        <v>5961.0000000000018</v>
      </c>
      <c r="AE36" s="160">
        <f t="shared" si="20"/>
        <v>6109.5000000000018</v>
      </c>
      <c r="AF36" s="160">
        <f t="shared" si="20"/>
        <v>6258.0000000000027</v>
      </c>
      <c r="AG36" s="160">
        <f t="shared" si="20"/>
        <v>6406.5000000000027</v>
      </c>
      <c r="AH36" s="160">
        <f t="shared" ref="AH36:AQ41" si="21">(base_score*($K$23+AH$25)) * $C36</f>
        <v>6555.0000000000027</v>
      </c>
      <c r="AI36" s="160">
        <f t="shared" si="21"/>
        <v>6703.5000000000027</v>
      </c>
      <c r="AJ36" s="160">
        <f t="shared" si="21"/>
        <v>6852.0000000000036</v>
      </c>
      <c r="AK36" s="160">
        <f t="shared" si="21"/>
        <v>7000.5000000000036</v>
      </c>
      <c r="AL36" s="160">
        <f t="shared" si="21"/>
        <v>7149.0000000000036</v>
      </c>
      <c r="AM36" s="160">
        <f t="shared" si="21"/>
        <v>7297.5000000000045</v>
      </c>
      <c r="AN36" s="160">
        <f t="shared" si="21"/>
        <v>7446.0000000000045</v>
      </c>
      <c r="AO36" s="160">
        <f t="shared" si="21"/>
        <v>7594.5000000000055</v>
      </c>
      <c r="AP36" s="160">
        <f t="shared" si="21"/>
        <v>7743.0000000000055</v>
      </c>
      <c r="AQ36" s="160">
        <f t="shared" si="21"/>
        <v>7891.5000000000055</v>
      </c>
      <c r="AR36" s="160">
        <f t="shared" ref="AR36:BA41" si="22">(base_score*($K$23+AR$25)) * $C36</f>
        <v>8040.0000000000055</v>
      </c>
      <c r="AS36" s="160">
        <f t="shared" si="22"/>
        <v>8188.5000000000064</v>
      </c>
      <c r="AT36" s="160">
        <f t="shared" si="22"/>
        <v>8337.0000000000055</v>
      </c>
      <c r="AU36" s="160">
        <f t="shared" si="22"/>
        <v>8485.5000000000073</v>
      </c>
      <c r="AV36" s="160">
        <f t="shared" si="22"/>
        <v>8634.0000000000073</v>
      </c>
      <c r="AW36" s="160">
        <f t="shared" si="22"/>
        <v>8782.5000000000073</v>
      </c>
      <c r="AX36" s="160">
        <f t="shared" si="22"/>
        <v>8931.0000000000073</v>
      </c>
      <c r="AY36" s="160">
        <f t="shared" si="22"/>
        <v>9079.5000000000073</v>
      </c>
      <c r="AZ36" s="160">
        <f t="shared" si="22"/>
        <v>9228.0000000000073</v>
      </c>
      <c r="BA36" s="160">
        <f t="shared" si="22"/>
        <v>9376.5000000000091</v>
      </c>
    </row>
    <row r="37" spans="1:53" x14ac:dyDescent="0.2">
      <c r="A37" s="169">
        <f t="shared" si="17"/>
        <v>1.0666666666666667</v>
      </c>
      <c r="B37" s="101">
        <v>12</v>
      </c>
      <c r="C37" s="113">
        <v>16</v>
      </c>
      <c r="D37" s="161">
        <f t="shared" si="18"/>
        <v>2240.0000000000005</v>
      </c>
      <c r="E37" s="161">
        <f t="shared" si="18"/>
        <v>2398.4000000000005</v>
      </c>
      <c r="F37" s="161">
        <f t="shared" si="18"/>
        <v>2556.8000000000006</v>
      </c>
      <c r="G37" s="161">
        <f t="shared" si="18"/>
        <v>2715.2000000000007</v>
      </c>
      <c r="H37" s="161">
        <f t="shared" si="18"/>
        <v>2873.6000000000004</v>
      </c>
      <c r="I37" s="161">
        <f t="shared" si="18"/>
        <v>3032.0000000000009</v>
      </c>
      <c r="J37" s="161">
        <f t="shared" si="18"/>
        <v>3190.4000000000005</v>
      </c>
      <c r="K37" s="161">
        <f t="shared" si="18"/>
        <v>3348.8000000000006</v>
      </c>
      <c r="L37" s="161">
        <f t="shared" si="18"/>
        <v>3507.2000000000003</v>
      </c>
      <c r="M37" s="161">
        <f t="shared" si="18"/>
        <v>3665.6000000000004</v>
      </c>
      <c r="N37" s="161">
        <f t="shared" si="19"/>
        <v>3824</v>
      </c>
      <c r="O37" s="161">
        <f t="shared" si="19"/>
        <v>3982.4000000000005</v>
      </c>
      <c r="P37" s="161">
        <f t="shared" si="19"/>
        <v>4140.8</v>
      </c>
      <c r="Q37" s="161">
        <f t="shared" si="19"/>
        <v>4299.2000000000007</v>
      </c>
      <c r="R37" s="161">
        <f t="shared" si="19"/>
        <v>4457.6000000000004</v>
      </c>
      <c r="S37" s="161">
        <f t="shared" si="19"/>
        <v>4616</v>
      </c>
      <c r="T37" s="161">
        <f t="shared" si="19"/>
        <v>4774.3999999999996</v>
      </c>
      <c r="U37" s="160">
        <f t="shared" si="19"/>
        <v>4932.8</v>
      </c>
      <c r="V37" s="158">
        <f t="shared" si="19"/>
        <v>5091.2000000000007</v>
      </c>
      <c r="W37" s="158">
        <f t="shared" si="19"/>
        <v>5249.6</v>
      </c>
      <c r="X37" s="158">
        <f t="shared" si="20"/>
        <v>5408</v>
      </c>
      <c r="Y37" s="158">
        <f t="shared" si="20"/>
        <v>5566.4000000000005</v>
      </c>
      <c r="Z37" s="158">
        <f t="shared" si="20"/>
        <v>5724.8</v>
      </c>
      <c r="AA37" s="160">
        <f t="shared" si="20"/>
        <v>5883.2000000000007</v>
      </c>
      <c r="AB37" s="160">
        <f t="shared" si="20"/>
        <v>6041.6000000000013</v>
      </c>
      <c r="AC37" s="160">
        <f t="shared" si="20"/>
        <v>6200.0000000000018</v>
      </c>
      <c r="AD37" s="160">
        <f t="shared" si="20"/>
        <v>6358.4000000000015</v>
      </c>
      <c r="AE37" s="160">
        <f t="shared" si="20"/>
        <v>6516.800000000002</v>
      </c>
      <c r="AF37" s="160">
        <f t="shared" si="20"/>
        <v>6675.2000000000025</v>
      </c>
      <c r="AG37" s="160">
        <f t="shared" si="20"/>
        <v>6833.6000000000031</v>
      </c>
      <c r="AH37" s="160">
        <f t="shared" si="21"/>
        <v>6992.0000000000027</v>
      </c>
      <c r="AI37" s="160">
        <f t="shared" si="21"/>
        <v>7150.4000000000033</v>
      </c>
      <c r="AJ37" s="160">
        <f t="shared" si="21"/>
        <v>7308.8000000000038</v>
      </c>
      <c r="AK37" s="160">
        <f t="shared" si="21"/>
        <v>7467.2000000000044</v>
      </c>
      <c r="AL37" s="160">
        <f t="shared" si="21"/>
        <v>7625.600000000004</v>
      </c>
      <c r="AM37" s="160">
        <f t="shared" si="21"/>
        <v>7784.0000000000045</v>
      </c>
      <c r="AN37" s="160">
        <f t="shared" si="21"/>
        <v>7942.4000000000051</v>
      </c>
      <c r="AO37" s="160">
        <f t="shared" si="21"/>
        <v>8100.8000000000056</v>
      </c>
      <c r="AP37" s="160">
        <f t="shared" si="21"/>
        <v>8259.2000000000062</v>
      </c>
      <c r="AQ37" s="160">
        <f t="shared" si="21"/>
        <v>8417.6000000000058</v>
      </c>
      <c r="AR37" s="160">
        <f t="shared" si="22"/>
        <v>8576.0000000000055</v>
      </c>
      <c r="AS37" s="160">
        <f t="shared" si="22"/>
        <v>8734.4000000000069</v>
      </c>
      <c r="AT37" s="160">
        <f t="shared" si="22"/>
        <v>8892.8000000000065</v>
      </c>
      <c r="AU37" s="160">
        <f t="shared" si="22"/>
        <v>9051.200000000008</v>
      </c>
      <c r="AV37" s="160">
        <f t="shared" si="22"/>
        <v>9209.6000000000076</v>
      </c>
      <c r="AW37" s="160">
        <f t="shared" si="22"/>
        <v>9368.0000000000073</v>
      </c>
      <c r="AX37" s="160">
        <f t="shared" si="22"/>
        <v>9526.4000000000087</v>
      </c>
      <c r="AY37" s="160">
        <f t="shared" si="22"/>
        <v>9684.8000000000084</v>
      </c>
      <c r="AZ37" s="160">
        <f t="shared" si="22"/>
        <v>9843.200000000008</v>
      </c>
      <c r="BA37" s="160">
        <f t="shared" si="22"/>
        <v>10001.600000000009</v>
      </c>
    </row>
    <row r="38" spans="1:53" x14ac:dyDescent="0.2">
      <c r="A38" s="169">
        <f t="shared" si="17"/>
        <v>1.0625</v>
      </c>
      <c r="B38" s="101">
        <v>13</v>
      </c>
      <c r="C38" s="113">
        <v>17</v>
      </c>
      <c r="D38" s="161">
        <f t="shared" si="18"/>
        <v>2380.0000000000005</v>
      </c>
      <c r="E38" s="161">
        <f t="shared" si="18"/>
        <v>2548.3000000000006</v>
      </c>
      <c r="F38" s="161">
        <f t="shared" si="18"/>
        <v>2716.6000000000008</v>
      </c>
      <c r="G38" s="161">
        <f t="shared" si="18"/>
        <v>2884.9000000000005</v>
      </c>
      <c r="H38" s="161">
        <f t="shared" si="18"/>
        <v>3053.2000000000003</v>
      </c>
      <c r="I38" s="161">
        <f t="shared" si="18"/>
        <v>3221.5000000000009</v>
      </c>
      <c r="J38" s="161">
        <f t="shared" si="18"/>
        <v>3389.8000000000006</v>
      </c>
      <c r="K38" s="161">
        <f t="shared" si="18"/>
        <v>3558.1000000000008</v>
      </c>
      <c r="L38" s="161">
        <f t="shared" si="18"/>
        <v>3726.4</v>
      </c>
      <c r="M38" s="161">
        <f t="shared" si="18"/>
        <v>3894.7000000000003</v>
      </c>
      <c r="N38" s="161">
        <f t="shared" si="19"/>
        <v>4063</v>
      </c>
      <c r="O38" s="161">
        <f t="shared" si="19"/>
        <v>4231.3</v>
      </c>
      <c r="P38" s="161">
        <f t="shared" si="19"/>
        <v>4399.6000000000004</v>
      </c>
      <c r="Q38" s="161">
        <f t="shared" si="19"/>
        <v>4567.9000000000005</v>
      </c>
      <c r="R38" s="161">
        <f t="shared" si="19"/>
        <v>4736.2000000000007</v>
      </c>
      <c r="S38" s="161">
        <f t="shared" si="19"/>
        <v>4904.5</v>
      </c>
      <c r="T38" s="161">
        <f t="shared" si="19"/>
        <v>5072.7999999999993</v>
      </c>
      <c r="U38" s="161">
        <f t="shared" si="19"/>
        <v>5241.1000000000004</v>
      </c>
      <c r="V38" s="158">
        <f t="shared" si="19"/>
        <v>5409.4000000000005</v>
      </c>
      <c r="W38" s="158">
        <f t="shared" si="19"/>
        <v>5577.7000000000007</v>
      </c>
      <c r="X38" s="158">
        <f t="shared" si="20"/>
        <v>5746</v>
      </c>
      <c r="Y38" s="158">
        <f t="shared" si="20"/>
        <v>5914.3</v>
      </c>
      <c r="Z38" s="158">
        <f t="shared" si="20"/>
        <v>6082.6</v>
      </c>
      <c r="AA38" s="160">
        <f t="shared" si="20"/>
        <v>6250.9000000000005</v>
      </c>
      <c r="AB38" s="160">
        <f t="shared" si="20"/>
        <v>6419.2000000000016</v>
      </c>
      <c r="AC38" s="160">
        <f t="shared" si="20"/>
        <v>6587.5000000000018</v>
      </c>
      <c r="AD38" s="160">
        <f t="shared" si="20"/>
        <v>6755.8000000000011</v>
      </c>
      <c r="AE38" s="160">
        <f t="shared" si="20"/>
        <v>6924.1000000000022</v>
      </c>
      <c r="AF38" s="160">
        <f t="shared" si="20"/>
        <v>7092.4000000000024</v>
      </c>
      <c r="AG38" s="160">
        <f t="shared" si="20"/>
        <v>7260.7000000000035</v>
      </c>
      <c r="AH38" s="160">
        <f t="shared" si="21"/>
        <v>7429.0000000000027</v>
      </c>
      <c r="AI38" s="160">
        <f t="shared" si="21"/>
        <v>7597.3000000000038</v>
      </c>
      <c r="AJ38" s="160">
        <f t="shared" si="21"/>
        <v>7765.600000000004</v>
      </c>
      <c r="AK38" s="160">
        <f t="shared" si="21"/>
        <v>7933.9000000000051</v>
      </c>
      <c r="AL38" s="160">
        <f t="shared" si="21"/>
        <v>8102.2000000000044</v>
      </c>
      <c r="AM38" s="160">
        <f t="shared" si="21"/>
        <v>8270.5000000000055</v>
      </c>
      <c r="AN38" s="160">
        <f t="shared" si="21"/>
        <v>8438.8000000000047</v>
      </c>
      <c r="AO38" s="160">
        <f t="shared" si="21"/>
        <v>8607.1000000000058</v>
      </c>
      <c r="AP38" s="160">
        <f t="shared" si="21"/>
        <v>8775.4000000000069</v>
      </c>
      <c r="AQ38" s="160">
        <f t="shared" si="21"/>
        <v>8943.7000000000062</v>
      </c>
      <c r="AR38" s="160">
        <f t="shared" si="22"/>
        <v>9112.0000000000055</v>
      </c>
      <c r="AS38" s="160">
        <f t="shared" si="22"/>
        <v>9280.3000000000065</v>
      </c>
      <c r="AT38" s="160">
        <f t="shared" si="22"/>
        <v>9448.6000000000076</v>
      </c>
      <c r="AU38" s="160">
        <f t="shared" si="22"/>
        <v>9616.9000000000087</v>
      </c>
      <c r="AV38" s="160">
        <f t="shared" si="22"/>
        <v>9785.200000000008</v>
      </c>
      <c r="AW38" s="160">
        <f t="shared" si="22"/>
        <v>9953.5000000000073</v>
      </c>
      <c r="AX38" s="160">
        <f t="shared" si="22"/>
        <v>10121.80000000001</v>
      </c>
      <c r="AY38" s="160">
        <f t="shared" si="22"/>
        <v>10290.100000000009</v>
      </c>
      <c r="AZ38" s="160">
        <f t="shared" si="22"/>
        <v>10458.400000000009</v>
      </c>
      <c r="BA38" s="160">
        <f t="shared" si="22"/>
        <v>10626.70000000001</v>
      </c>
    </row>
    <row r="39" spans="1:53" x14ac:dyDescent="0.2">
      <c r="A39" s="169">
        <f t="shared" si="17"/>
        <v>1.0588235294117647</v>
      </c>
      <c r="B39" s="101">
        <v>14</v>
      </c>
      <c r="C39" s="113">
        <v>18</v>
      </c>
      <c r="D39" s="161">
        <f t="shared" si="18"/>
        <v>2520.0000000000005</v>
      </c>
      <c r="E39" s="161">
        <f t="shared" si="18"/>
        <v>2698.2000000000007</v>
      </c>
      <c r="F39" s="161">
        <f t="shared" si="18"/>
        <v>2876.4000000000005</v>
      </c>
      <c r="G39" s="161">
        <f t="shared" si="18"/>
        <v>3054.6000000000008</v>
      </c>
      <c r="H39" s="161">
        <f t="shared" si="18"/>
        <v>3232.8</v>
      </c>
      <c r="I39" s="161">
        <f t="shared" si="18"/>
        <v>3411.0000000000009</v>
      </c>
      <c r="J39" s="161">
        <f t="shared" si="18"/>
        <v>3589.2000000000007</v>
      </c>
      <c r="K39" s="161">
        <f t="shared" si="18"/>
        <v>3767.4000000000005</v>
      </c>
      <c r="L39" s="161">
        <f t="shared" si="18"/>
        <v>3945.6000000000004</v>
      </c>
      <c r="M39" s="161">
        <f t="shared" si="18"/>
        <v>4123.8</v>
      </c>
      <c r="N39" s="161">
        <f t="shared" si="19"/>
        <v>4302</v>
      </c>
      <c r="O39" s="161">
        <f t="shared" si="19"/>
        <v>4480.2000000000007</v>
      </c>
      <c r="P39" s="161">
        <f t="shared" si="19"/>
        <v>4658.4000000000005</v>
      </c>
      <c r="Q39" s="161">
        <f t="shared" si="19"/>
        <v>4836.6000000000004</v>
      </c>
      <c r="R39" s="161">
        <f t="shared" si="19"/>
        <v>5014.8</v>
      </c>
      <c r="S39" s="161">
        <f t="shared" si="19"/>
        <v>5193</v>
      </c>
      <c r="T39" s="161">
        <f t="shared" si="19"/>
        <v>5371.2</v>
      </c>
      <c r="U39" s="161">
        <f t="shared" si="19"/>
        <v>5549.4000000000005</v>
      </c>
      <c r="V39" s="161">
        <f t="shared" si="19"/>
        <v>5727.6</v>
      </c>
      <c r="W39" s="161">
        <f t="shared" si="19"/>
        <v>5905.8</v>
      </c>
      <c r="X39" s="158">
        <f t="shared" si="20"/>
        <v>6084</v>
      </c>
      <c r="Y39" s="158">
        <f t="shared" si="20"/>
        <v>6262.2000000000007</v>
      </c>
      <c r="Z39" s="158">
        <f t="shared" si="20"/>
        <v>6440.4000000000005</v>
      </c>
      <c r="AA39" s="160">
        <f t="shared" si="20"/>
        <v>6618.6</v>
      </c>
      <c r="AB39" s="160">
        <f t="shared" si="20"/>
        <v>6796.8000000000011</v>
      </c>
      <c r="AC39" s="160">
        <f t="shared" si="20"/>
        <v>6975.0000000000018</v>
      </c>
      <c r="AD39" s="160">
        <f t="shared" si="20"/>
        <v>7153.2000000000016</v>
      </c>
      <c r="AE39" s="160">
        <f t="shared" si="20"/>
        <v>7331.4000000000024</v>
      </c>
      <c r="AF39" s="160">
        <f t="shared" si="20"/>
        <v>7509.6000000000031</v>
      </c>
      <c r="AG39" s="160">
        <f t="shared" si="20"/>
        <v>7687.8000000000038</v>
      </c>
      <c r="AH39" s="160">
        <f t="shared" si="21"/>
        <v>7866.0000000000027</v>
      </c>
      <c r="AI39" s="160">
        <f t="shared" si="21"/>
        <v>8044.2000000000035</v>
      </c>
      <c r="AJ39" s="160">
        <f t="shared" si="21"/>
        <v>8222.4000000000051</v>
      </c>
      <c r="AK39" s="160">
        <f t="shared" si="21"/>
        <v>8400.6000000000058</v>
      </c>
      <c r="AL39" s="160">
        <f t="shared" si="21"/>
        <v>8578.8000000000047</v>
      </c>
      <c r="AM39" s="160">
        <f t="shared" si="21"/>
        <v>8757.0000000000055</v>
      </c>
      <c r="AN39" s="160">
        <f t="shared" si="21"/>
        <v>8935.2000000000062</v>
      </c>
      <c r="AO39" s="160">
        <f t="shared" si="21"/>
        <v>9113.4000000000069</v>
      </c>
      <c r="AP39" s="160">
        <f t="shared" si="21"/>
        <v>9291.6000000000076</v>
      </c>
      <c r="AQ39" s="160">
        <f t="shared" si="21"/>
        <v>9469.8000000000065</v>
      </c>
      <c r="AR39" s="160">
        <f t="shared" si="22"/>
        <v>9648.0000000000055</v>
      </c>
      <c r="AS39" s="160">
        <f t="shared" si="22"/>
        <v>9826.200000000008</v>
      </c>
      <c r="AT39" s="160">
        <f t="shared" si="22"/>
        <v>10004.400000000007</v>
      </c>
      <c r="AU39" s="160">
        <f t="shared" si="22"/>
        <v>10182.600000000009</v>
      </c>
      <c r="AV39" s="160">
        <f t="shared" si="22"/>
        <v>10360.800000000008</v>
      </c>
      <c r="AW39" s="160">
        <f t="shared" si="22"/>
        <v>10539.000000000007</v>
      </c>
      <c r="AX39" s="160">
        <f t="shared" si="22"/>
        <v>10717.20000000001</v>
      </c>
      <c r="AY39" s="160">
        <f t="shared" si="22"/>
        <v>10895.400000000009</v>
      </c>
      <c r="AZ39" s="160">
        <f t="shared" si="22"/>
        <v>11073.600000000009</v>
      </c>
      <c r="BA39" s="160">
        <f t="shared" si="22"/>
        <v>11251.80000000001</v>
      </c>
    </row>
    <row r="40" spans="1:53" x14ac:dyDescent="0.2">
      <c r="A40" s="169">
        <f t="shared" si="17"/>
        <v>1.0555555555555556</v>
      </c>
      <c r="B40" s="101">
        <v>15</v>
      </c>
      <c r="C40" s="113">
        <v>19</v>
      </c>
      <c r="D40" s="161">
        <f t="shared" si="18"/>
        <v>2660.0000000000005</v>
      </c>
      <c r="E40" s="161">
        <f t="shared" si="18"/>
        <v>2848.1000000000008</v>
      </c>
      <c r="F40" s="161">
        <f t="shared" si="18"/>
        <v>3036.2000000000007</v>
      </c>
      <c r="G40" s="161">
        <f t="shared" si="18"/>
        <v>3224.3000000000011</v>
      </c>
      <c r="H40" s="161">
        <f t="shared" si="18"/>
        <v>3412.4000000000005</v>
      </c>
      <c r="I40" s="161">
        <f t="shared" si="18"/>
        <v>3600.5000000000009</v>
      </c>
      <c r="J40" s="161">
        <f t="shared" si="18"/>
        <v>3788.6000000000008</v>
      </c>
      <c r="K40" s="161">
        <f t="shared" si="18"/>
        <v>3976.7000000000007</v>
      </c>
      <c r="L40" s="161">
        <f t="shared" si="18"/>
        <v>4164.8</v>
      </c>
      <c r="M40" s="161">
        <f t="shared" si="18"/>
        <v>4352.9000000000005</v>
      </c>
      <c r="N40" s="161">
        <f t="shared" si="19"/>
        <v>4541</v>
      </c>
      <c r="O40" s="161">
        <f t="shared" si="19"/>
        <v>4729.1000000000004</v>
      </c>
      <c r="P40" s="161">
        <f t="shared" si="19"/>
        <v>4917.2</v>
      </c>
      <c r="Q40" s="161">
        <f t="shared" si="19"/>
        <v>5105.3000000000011</v>
      </c>
      <c r="R40" s="161">
        <f t="shared" si="19"/>
        <v>5293.4000000000005</v>
      </c>
      <c r="S40" s="161">
        <f t="shared" si="19"/>
        <v>5481.5</v>
      </c>
      <c r="T40" s="161">
        <f t="shared" si="19"/>
        <v>5669.5999999999995</v>
      </c>
      <c r="U40" s="161">
        <f t="shared" si="19"/>
        <v>5857.7</v>
      </c>
      <c r="V40" s="161">
        <f t="shared" si="19"/>
        <v>6045.8000000000011</v>
      </c>
      <c r="W40" s="161">
        <f t="shared" si="19"/>
        <v>6233.9000000000005</v>
      </c>
      <c r="X40" s="161">
        <f t="shared" si="20"/>
        <v>6422</v>
      </c>
      <c r="Y40" s="158">
        <f t="shared" si="20"/>
        <v>6610.1</v>
      </c>
      <c r="Z40" s="158">
        <f t="shared" si="20"/>
        <v>6798.2</v>
      </c>
      <c r="AA40" s="160">
        <f t="shared" si="20"/>
        <v>6986.3000000000011</v>
      </c>
      <c r="AB40" s="160">
        <f t="shared" si="20"/>
        <v>7174.4000000000015</v>
      </c>
      <c r="AC40" s="160">
        <f t="shared" si="20"/>
        <v>7362.5000000000018</v>
      </c>
      <c r="AD40" s="160">
        <f t="shared" si="20"/>
        <v>7550.6000000000022</v>
      </c>
      <c r="AE40" s="160">
        <f t="shared" si="20"/>
        <v>7738.7000000000025</v>
      </c>
      <c r="AF40" s="160">
        <f t="shared" si="20"/>
        <v>7926.8000000000029</v>
      </c>
      <c r="AG40" s="160">
        <f t="shared" si="20"/>
        <v>8114.9000000000033</v>
      </c>
      <c r="AH40" s="160">
        <f t="shared" si="21"/>
        <v>8303.0000000000036</v>
      </c>
      <c r="AI40" s="160">
        <f t="shared" si="21"/>
        <v>8491.100000000004</v>
      </c>
      <c r="AJ40" s="160">
        <f t="shared" si="21"/>
        <v>8679.2000000000044</v>
      </c>
      <c r="AK40" s="160">
        <f t="shared" si="21"/>
        <v>8867.3000000000047</v>
      </c>
      <c r="AL40" s="160">
        <f t="shared" si="21"/>
        <v>9055.4000000000051</v>
      </c>
      <c r="AM40" s="160">
        <f t="shared" si="21"/>
        <v>9243.5000000000055</v>
      </c>
      <c r="AN40" s="160">
        <f t="shared" si="21"/>
        <v>9431.6000000000058</v>
      </c>
      <c r="AO40" s="160">
        <f t="shared" si="21"/>
        <v>9619.7000000000062</v>
      </c>
      <c r="AP40" s="160">
        <f t="shared" si="21"/>
        <v>9807.8000000000065</v>
      </c>
      <c r="AQ40" s="160">
        <f t="shared" si="21"/>
        <v>9995.9000000000069</v>
      </c>
      <c r="AR40" s="160">
        <f t="shared" si="22"/>
        <v>10184.000000000007</v>
      </c>
      <c r="AS40" s="160">
        <f t="shared" si="22"/>
        <v>10372.100000000008</v>
      </c>
      <c r="AT40" s="160">
        <f t="shared" si="22"/>
        <v>10560.200000000008</v>
      </c>
      <c r="AU40" s="160">
        <f t="shared" si="22"/>
        <v>10748.30000000001</v>
      </c>
      <c r="AV40" s="160">
        <f t="shared" si="22"/>
        <v>10936.400000000009</v>
      </c>
      <c r="AW40" s="160">
        <f t="shared" si="22"/>
        <v>11124.500000000009</v>
      </c>
      <c r="AX40" s="160">
        <f t="shared" si="22"/>
        <v>11312.600000000009</v>
      </c>
      <c r="AY40" s="160">
        <f t="shared" si="22"/>
        <v>11500.70000000001</v>
      </c>
      <c r="AZ40" s="160">
        <f t="shared" si="22"/>
        <v>11688.80000000001</v>
      </c>
      <c r="BA40" s="160">
        <f t="shared" si="22"/>
        <v>11876.900000000011</v>
      </c>
    </row>
    <row r="41" spans="1:53" x14ac:dyDescent="0.2">
      <c r="A41" s="169">
        <f t="shared" si="17"/>
        <v>1.0526315789473684</v>
      </c>
      <c r="B41" s="101">
        <v>16</v>
      </c>
      <c r="C41" s="116">
        <v>20</v>
      </c>
      <c r="D41" s="163">
        <f t="shared" si="18"/>
        <v>2800.0000000000005</v>
      </c>
      <c r="E41" s="163">
        <f t="shared" si="18"/>
        <v>2998.0000000000009</v>
      </c>
      <c r="F41" s="163">
        <f t="shared" si="18"/>
        <v>3196.0000000000009</v>
      </c>
      <c r="G41" s="163">
        <f t="shared" si="18"/>
        <v>3394.0000000000009</v>
      </c>
      <c r="H41" s="163">
        <f t="shared" si="18"/>
        <v>3592.0000000000005</v>
      </c>
      <c r="I41" s="163">
        <f t="shared" si="18"/>
        <v>3790.0000000000009</v>
      </c>
      <c r="J41" s="163">
        <f t="shared" si="18"/>
        <v>3988.0000000000009</v>
      </c>
      <c r="K41" s="163">
        <f t="shared" si="18"/>
        <v>4186.0000000000009</v>
      </c>
      <c r="L41" s="163">
        <f t="shared" si="18"/>
        <v>4384</v>
      </c>
      <c r="M41" s="163">
        <f t="shared" si="18"/>
        <v>4582</v>
      </c>
      <c r="N41" s="163">
        <f t="shared" si="19"/>
        <v>4780</v>
      </c>
      <c r="O41" s="163">
        <f t="shared" si="19"/>
        <v>4978.0000000000009</v>
      </c>
      <c r="P41" s="163">
        <f t="shared" si="19"/>
        <v>5176</v>
      </c>
      <c r="Q41" s="163">
        <f t="shared" si="19"/>
        <v>5374.0000000000009</v>
      </c>
      <c r="R41" s="163">
        <f t="shared" si="19"/>
        <v>5572</v>
      </c>
      <c r="S41" s="163">
        <f t="shared" si="19"/>
        <v>5770</v>
      </c>
      <c r="T41" s="163">
        <f t="shared" si="19"/>
        <v>5968</v>
      </c>
      <c r="U41" s="163">
        <f t="shared" si="19"/>
        <v>6166</v>
      </c>
      <c r="V41" s="163">
        <f t="shared" si="19"/>
        <v>6364.0000000000009</v>
      </c>
      <c r="W41" s="163">
        <f t="shared" si="19"/>
        <v>6562</v>
      </c>
      <c r="X41" s="163">
        <f t="shared" si="20"/>
        <v>6760</v>
      </c>
      <c r="Y41" s="163">
        <f t="shared" si="20"/>
        <v>6958.0000000000009</v>
      </c>
      <c r="Z41" s="163">
        <f t="shared" si="20"/>
        <v>7156</v>
      </c>
      <c r="AA41" s="160">
        <f t="shared" si="20"/>
        <v>7354.0000000000009</v>
      </c>
      <c r="AB41" s="160">
        <f t="shared" si="20"/>
        <v>7552.0000000000018</v>
      </c>
      <c r="AC41" s="160">
        <f t="shared" si="20"/>
        <v>7750.0000000000018</v>
      </c>
      <c r="AD41" s="160">
        <f t="shared" si="20"/>
        <v>7948.0000000000018</v>
      </c>
      <c r="AE41" s="160">
        <f t="shared" si="20"/>
        <v>8146.0000000000027</v>
      </c>
      <c r="AF41" s="160">
        <f t="shared" si="20"/>
        <v>8344.0000000000036</v>
      </c>
      <c r="AG41" s="160">
        <f t="shared" si="20"/>
        <v>8542.0000000000036</v>
      </c>
      <c r="AH41" s="160">
        <f t="shared" si="21"/>
        <v>8740.0000000000036</v>
      </c>
      <c r="AI41" s="160">
        <f t="shared" si="21"/>
        <v>8938.0000000000036</v>
      </c>
      <c r="AJ41" s="160">
        <f t="shared" si="21"/>
        <v>9136.0000000000055</v>
      </c>
      <c r="AK41" s="160">
        <f t="shared" si="21"/>
        <v>9334.0000000000055</v>
      </c>
      <c r="AL41" s="160">
        <f t="shared" si="21"/>
        <v>9532.0000000000055</v>
      </c>
      <c r="AM41" s="160">
        <f t="shared" si="21"/>
        <v>9730.0000000000055</v>
      </c>
      <c r="AN41" s="160">
        <f t="shared" si="21"/>
        <v>9928.0000000000073</v>
      </c>
      <c r="AO41" s="160">
        <f t="shared" si="21"/>
        <v>10126.000000000007</v>
      </c>
      <c r="AP41" s="160">
        <f t="shared" si="21"/>
        <v>10324.000000000007</v>
      </c>
      <c r="AQ41" s="160">
        <f t="shared" si="21"/>
        <v>10522.000000000007</v>
      </c>
      <c r="AR41" s="160">
        <f t="shared" si="22"/>
        <v>10720.000000000007</v>
      </c>
      <c r="AS41" s="160">
        <f t="shared" si="22"/>
        <v>10918.000000000009</v>
      </c>
      <c r="AT41" s="160">
        <f t="shared" si="22"/>
        <v>11116.000000000007</v>
      </c>
      <c r="AU41" s="160">
        <f t="shared" si="22"/>
        <v>11314.000000000011</v>
      </c>
      <c r="AV41" s="160">
        <f t="shared" si="22"/>
        <v>11512.000000000009</v>
      </c>
      <c r="AW41" s="160">
        <f t="shared" si="22"/>
        <v>11710.000000000009</v>
      </c>
      <c r="AX41" s="160">
        <f t="shared" si="22"/>
        <v>11908.000000000011</v>
      </c>
      <c r="AY41" s="160">
        <f t="shared" si="22"/>
        <v>12106.000000000011</v>
      </c>
      <c r="AZ41" s="160">
        <f t="shared" si="22"/>
        <v>12304.000000000011</v>
      </c>
      <c r="BA41" s="160">
        <f t="shared" si="22"/>
        <v>12502.000000000011</v>
      </c>
    </row>
    <row r="42" spans="1:53" ht="20.25" x14ac:dyDescent="0.35">
      <c r="C42" s="131" t="s">
        <v>289</v>
      </c>
    </row>
    <row r="43" spans="1:53" x14ac:dyDescent="0.2">
      <c r="B43" s="101" t="s">
        <v>158</v>
      </c>
      <c r="C43" s="168" t="s">
        <v>288</v>
      </c>
      <c r="D43" s="156" t="s">
        <v>206</v>
      </c>
      <c r="E43" s="156"/>
      <c r="F43" s="156"/>
      <c r="G43" s="156"/>
      <c r="H43" s="156"/>
      <c r="I43" s="156"/>
      <c r="J43" s="156"/>
      <c r="K43" s="164">
        <f>'매칭-전투력'!G92</f>
        <v>0</v>
      </c>
      <c r="L43" s="156"/>
      <c r="M43" s="156"/>
      <c r="O43" s="165">
        <f>'매칭-전투력'!H92</f>
        <v>0</v>
      </c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7"/>
    </row>
    <row r="44" spans="1:53" x14ac:dyDescent="0.2">
      <c r="B44" s="128">
        <v>1</v>
      </c>
      <c r="C44" s="110" t="s">
        <v>287</v>
      </c>
      <c r="D44" s="159">
        <v>1</v>
      </c>
      <c r="E44" s="159">
        <v>2</v>
      </c>
      <c r="F44" s="159">
        <v>3</v>
      </c>
      <c r="G44" s="159">
        <v>4</v>
      </c>
      <c r="H44" s="159">
        <v>5</v>
      </c>
      <c r="I44" s="159">
        <v>6</v>
      </c>
      <c r="J44" s="159">
        <v>7</v>
      </c>
      <c r="K44" s="159">
        <v>8</v>
      </c>
      <c r="L44" s="159">
        <v>9</v>
      </c>
      <c r="M44" s="159">
        <v>10</v>
      </c>
      <c r="N44" s="159">
        <v>11</v>
      </c>
      <c r="O44" s="159">
        <v>12</v>
      </c>
      <c r="P44" s="159">
        <v>13</v>
      </c>
      <c r="Q44" s="159">
        <v>14</v>
      </c>
      <c r="R44" s="159">
        <v>15</v>
      </c>
      <c r="S44" s="159">
        <v>16</v>
      </c>
      <c r="T44" s="159">
        <v>17</v>
      </c>
      <c r="U44" s="159">
        <v>18</v>
      </c>
      <c r="V44" s="159">
        <v>19</v>
      </c>
      <c r="W44" s="159">
        <v>20</v>
      </c>
      <c r="X44" s="159">
        <v>21</v>
      </c>
      <c r="Y44" s="159">
        <v>22</v>
      </c>
      <c r="Z44" s="159">
        <v>23</v>
      </c>
      <c r="AA44" s="159">
        <v>24</v>
      </c>
      <c r="AB44" s="159">
        <v>25</v>
      </c>
      <c r="AC44" s="159">
        <v>26</v>
      </c>
      <c r="AD44" s="159">
        <v>27</v>
      </c>
      <c r="AE44" s="159">
        <v>28</v>
      </c>
      <c r="AF44" s="159">
        <v>29</v>
      </c>
      <c r="AG44" s="159">
        <v>30</v>
      </c>
      <c r="AH44" s="159">
        <v>31</v>
      </c>
      <c r="AI44" s="159">
        <v>32</v>
      </c>
      <c r="AJ44" s="159">
        <v>33</v>
      </c>
      <c r="AK44" s="159">
        <v>34</v>
      </c>
      <c r="AL44" s="159">
        <v>35</v>
      </c>
      <c r="AM44" s="159">
        <v>36</v>
      </c>
      <c r="AN44" s="159">
        <v>37</v>
      </c>
      <c r="AO44" s="159">
        <v>38</v>
      </c>
      <c r="AP44" s="159">
        <v>39</v>
      </c>
      <c r="AQ44" s="159">
        <v>40</v>
      </c>
      <c r="AR44" s="159">
        <v>41</v>
      </c>
      <c r="AS44" s="159">
        <v>42</v>
      </c>
      <c r="AT44" s="159">
        <v>43</v>
      </c>
      <c r="AU44" s="159">
        <v>44</v>
      </c>
      <c r="AV44" s="159">
        <v>45</v>
      </c>
      <c r="AW44" s="159">
        <v>46</v>
      </c>
      <c r="AX44" s="159">
        <v>47</v>
      </c>
      <c r="AY44" s="159">
        <v>48</v>
      </c>
      <c r="AZ44" s="159">
        <v>49</v>
      </c>
      <c r="BA44" s="159">
        <v>50</v>
      </c>
    </row>
    <row r="45" spans="1:53" x14ac:dyDescent="0.2">
      <c r="B45" s="139">
        <f>'매칭-전투력'!T72</f>
        <v>0.1</v>
      </c>
      <c r="C45" s="113">
        <v>1</v>
      </c>
      <c r="D45" s="160">
        <f>(D$26*(1+$B45))/10</f>
        <v>77.000000000000028</v>
      </c>
      <c r="E45" s="160">
        <f t="shared" ref="E45:BA50" si="23">(E$26*(1+$B45))/10</f>
        <v>82.445000000000022</v>
      </c>
      <c r="F45" s="160">
        <f t="shared" si="23"/>
        <v>87.890000000000029</v>
      </c>
      <c r="G45" s="160">
        <f t="shared" si="23"/>
        <v>93.335000000000036</v>
      </c>
      <c r="H45" s="160">
        <f t="shared" si="23"/>
        <v>98.780000000000015</v>
      </c>
      <c r="I45" s="160">
        <f t="shared" si="23"/>
        <v>104.22500000000002</v>
      </c>
      <c r="J45" s="160">
        <f t="shared" si="23"/>
        <v>109.67000000000003</v>
      </c>
      <c r="K45" s="160">
        <f t="shared" si="23"/>
        <v>115.11500000000004</v>
      </c>
      <c r="L45" s="160">
        <f t="shared" si="23"/>
        <v>120.56000000000002</v>
      </c>
      <c r="M45" s="160">
        <f t="shared" si="23"/>
        <v>126.00500000000002</v>
      </c>
      <c r="N45" s="160">
        <f t="shared" si="23"/>
        <v>131.44999999999999</v>
      </c>
      <c r="O45" s="160">
        <f t="shared" si="23"/>
        <v>136.89500000000004</v>
      </c>
      <c r="P45" s="160">
        <f t="shared" si="23"/>
        <v>142.34</v>
      </c>
      <c r="Q45" s="160">
        <f t="shared" si="23"/>
        <v>147.78500000000003</v>
      </c>
      <c r="R45" s="160">
        <f t="shared" si="23"/>
        <v>153.23000000000002</v>
      </c>
      <c r="S45" s="160">
        <f t="shared" si="23"/>
        <v>158.67500000000001</v>
      </c>
      <c r="T45" s="160">
        <f t="shared" si="23"/>
        <v>164.12</v>
      </c>
      <c r="U45" s="160">
        <f t="shared" si="23"/>
        <v>169.565</v>
      </c>
      <c r="V45" s="160">
        <f t="shared" si="23"/>
        <v>175.01000000000005</v>
      </c>
      <c r="W45" s="160">
        <f t="shared" si="23"/>
        <v>180.45500000000001</v>
      </c>
      <c r="X45" s="160">
        <f t="shared" si="23"/>
        <v>185.90000000000003</v>
      </c>
      <c r="Y45" s="160">
        <f t="shared" si="23"/>
        <v>191.34500000000006</v>
      </c>
      <c r="Z45" s="160">
        <f t="shared" si="23"/>
        <v>196.79000000000002</v>
      </c>
      <c r="AA45" s="160">
        <f t="shared" si="23"/>
        <v>202.23500000000004</v>
      </c>
      <c r="AB45" s="160">
        <f t="shared" si="23"/>
        <v>207.68000000000006</v>
      </c>
      <c r="AC45" s="160">
        <f t="shared" si="23"/>
        <v>213.12500000000006</v>
      </c>
      <c r="AD45" s="160">
        <f t="shared" si="23"/>
        <v>218.57000000000008</v>
      </c>
      <c r="AE45" s="160">
        <f t="shared" si="23"/>
        <v>224.0150000000001</v>
      </c>
      <c r="AF45" s="160">
        <f t="shared" si="23"/>
        <v>229.46000000000012</v>
      </c>
      <c r="AG45" s="160">
        <f t="shared" si="23"/>
        <v>234.90500000000011</v>
      </c>
      <c r="AH45" s="160">
        <f t="shared" si="23"/>
        <v>240.35000000000014</v>
      </c>
      <c r="AI45" s="160">
        <f t="shared" si="23"/>
        <v>245.79500000000013</v>
      </c>
      <c r="AJ45" s="160">
        <f t="shared" si="23"/>
        <v>251.24000000000018</v>
      </c>
      <c r="AK45" s="160">
        <f t="shared" si="23"/>
        <v>256.68500000000017</v>
      </c>
      <c r="AL45" s="160">
        <f t="shared" si="23"/>
        <v>262.13000000000017</v>
      </c>
      <c r="AM45" s="160">
        <f t="shared" si="23"/>
        <v>267.57500000000016</v>
      </c>
      <c r="AN45" s="160">
        <f t="shared" si="23"/>
        <v>273.02000000000021</v>
      </c>
      <c r="AO45" s="160">
        <f t="shared" si="23"/>
        <v>278.46500000000026</v>
      </c>
      <c r="AP45" s="160">
        <f t="shared" si="23"/>
        <v>283.9100000000002</v>
      </c>
      <c r="AQ45" s="160">
        <f t="shared" si="23"/>
        <v>289.35500000000025</v>
      </c>
      <c r="AR45" s="160">
        <f t="shared" si="23"/>
        <v>294.80000000000024</v>
      </c>
      <c r="AS45" s="160">
        <f t="shared" si="23"/>
        <v>300.24500000000023</v>
      </c>
      <c r="AT45" s="160">
        <f t="shared" si="23"/>
        <v>305.69000000000023</v>
      </c>
      <c r="AU45" s="160">
        <f t="shared" si="23"/>
        <v>311.13500000000033</v>
      </c>
      <c r="AV45" s="160">
        <f t="shared" si="23"/>
        <v>316.58000000000027</v>
      </c>
      <c r="AW45" s="160">
        <f t="shared" si="23"/>
        <v>322.02500000000026</v>
      </c>
      <c r="AX45" s="160">
        <f t="shared" si="23"/>
        <v>327.47000000000037</v>
      </c>
      <c r="AY45" s="160">
        <f t="shared" si="23"/>
        <v>332.9150000000003</v>
      </c>
      <c r="AZ45" s="160">
        <f t="shared" si="23"/>
        <v>338.3600000000003</v>
      </c>
      <c r="BA45" s="160">
        <f t="shared" si="23"/>
        <v>343.80500000000035</v>
      </c>
    </row>
    <row r="46" spans="1:53" x14ac:dyDescent="0.2">
      <c r="B46" s="139">
        <f>'매칭-전투력'!T73</f>
        <v>0.12222222222222223</v>
      </c>
      <c r="C46" s="113">
        <v>2</v>
      </c>
      <c r="D46" s="160">
        <f t="shared" ref="D46:S54" si="24">(D$26*(1+$B46))/10</f>
        <v>78.555555555555571</v>
      </c>
      <c r="E46" s="160">
        <f t="shared" si="24"/>
        <v>84.110555555555578</v>
      </c>
      <c r="F46" s="160">
        <f t="shared" si="24"/>
        <v>89.665555555555585</v>
      </c>
      <c r="G46" s="160">
        <f t="shared" si="24"/>
        <v>95.220555555555592</v>
      </c>
      <c r="H46" s="160">
        <f t="shared" si="24"/>
        <v>100.77555555555557</v>
      </c>
      <c r="I46" s="160">
        <f t="shared" si="24"/>
        <v>106.33055555555559</v>
      </c>
      <c r="J46" s="160">
        <f t="shared" si="24"/>
        <v>111.88555555555558</v>
      </c>
      <c r="K46" s="160">
        <f t="shared" si="24"/>
        <v>117.44055555555558</v>
      </c>
      <c r="L46" s="160">
        <f t="shared" si="24"/>
        <v>122.99555555555555</v>
      </c>
      <c r="M46" s="160">
        <f t="shared" si="24"/>
        <v>128.55055555555555</v>
      </c>
      <c r="N46" s="160">
        <f t="shared" si="24"/>
        <v>134.10555555555555</v>
      </c>
      <c r="O46" s="160">
        <f t="shared" si="24"/>
        <v>139.66055555555559</v>
      </c>
      <c r="P46" s="160">
        <f t="shared" si="24"/>
        <v>145.21555555555557</v>
      </c>
      <c r="Q46" s="160">
        <f t="shared" si="24"/>
        <v>150.77055555555557</v>
      </c>
      <c r="R46" s="160">
        <f t="shared" si="24"/>
        <v>156.32555555555555</v>
      </c>
      <c r="S46" s="160">
        <f t="shared" si="24"/>
        <v>161.88055555555556</v>
      </c>
      <c r="T46" s="160">
        <f t="shared" si="23"/>
        <v>167.43555555555557</v>
      </c>
      <c r="U46" s="160">
        <f t="shared" si="23"/>
        <v>172.99055555555555</v>
      </c>
      <c r="V46" s="160">
        <f t="shared" si="23"/>
        <v>178.54555555555558</v>
      </c>
      <c r="W46" s="160">
        <f t="shared" si="23"/>
        <v>184.10055555555556</v>
      </c>
      <c r="X46" s="160">
        <f t="shared" si="23"/>
        <v>189.65555555555557</v>
      </c>
      <c r="Y46" s="160">
        <f t="shared" si="23"/>
        <v>195.21055555555557</v>
      </c>
      <c r="Z46" s="160">
        <f t="shared" si="23"/>
        <v>200.76555555555555</v>
      </c>
      <c r="AA46" s="160">
        <f t="shared" si="23"/>
        <v>206.32055555555559</v>
      </c>
      <c r="AB46" s="160">
        <f t="shared" si="23"/>
        <v>211.87555555555559</v>
      </c>
      <c r="AC46" s="160">
        <f t="shared" si="23"/>
        <v>217.4305555555556</v>
      </c>
      <c r="AD46" s="160">
        <f t="shared" si="23"/>
        <v>222.98555555555564</v>
      </c>
      <c r="AE46" s="160">
        <f t="shared" si="23"/>
        <v>228.54055555555564</v>
      </c>
      <c r="AF46" s="160">
        <f t="shared" si="23"/>
        <v>234.09555555555568</v>
      </c>
      <c r="AG46" s="160">
        <f t="shared" si="23"/>
        <v>239.65055555555563</v>
      </c>
      <c r="AH46" s="160">
        <f t="shared" si="23"/>
        <v>245.20555555555566</v>
      </c>
      <c r="AI46" s="160">
        <f t="shared" si="23"/>
        <v>250.76055555555567</v>
      </c>
      <c r="AJ46" s="160">
        <f t="shared" si="23"/>
        <v>256.3155555555557</v>
      </c>
      <c r="AK46" s="160">
        <f t="shared" si="23"/>
        <v>261.87055555555571</v>
      </c>
      <c r="AL46" s="160">
        <f t="shared" si="23"/>
        <v>267.42555555555572</v>
      </c>
      <c r="AM46" s="160">
        <f t="shared" si="23"/>
        <v>272.98055555555572</v>
      </c>
      <c r="AN46" s="160">
        <f t="shared" si="23"/>
        <v>278.53555555555579</v>
      </c>
      <c r="AO46" s="160">
        <f t="shared" si="23"/>
        <v>284.0905555555558</v>
      </c>
      <c r="AP46" s="160">
        <f t="shared" si="23"/>
        <v>289.64555555555575</v>
      </c>
      <c r="AQ46" s="160">
        <f t="shared" si="23"/>
        <v>295.20055555555575</v>
      </c>
      <c r="AR46" s="160">
        <f t="shared" si="23"/>
        <v>300.75555555555576</v>
      </c>
      <c r="AS46" s="160">
        <f t="shared" si="23"/>
        <v>306.31055555555582</v>
      </c>
      <c r="AT46" s="160">
        <f t="shared" si="23"/>
        <v>311.86555555555577</v>
      </c>
      <c r="AU46" s="160">
        <f t="shared" si="23"/>
        <v>317.42055555555584</v>
      </c>
      <c r="AV46" s="160">
        <f t="shared" si="23"/>
        <v>322.97555555555584</v>
      </c>
      <c r="AW46" s="160">
        <f t="shared" si="23"/>
        <v>328.53055555555579</v>
      </c>
      <c r="AX46" s="160">
        <f t="shared" si="23"/>
        <v>334.08555555555586</v>
      </c>
      <c r="AY46" s="160">
        <f t="shared" si="23"/>
        <v>339.64055555555586</v>
      </c>
      <c r="AZ46" s="160">
        <f t="shared" si="23"/>
        <v>345.19555555555587</v>
      </c>
      <c r="BA46" s="160">
        <f t="shared" si="23"/>
        <v>350.75055555555588</v>
      </c>
    </row>
    <row r="47" spans="1:53" x14ac:dyDescent="0.2">
      <c r="B47" s="139">
        <f>'매칭-전투력'!T74</f>
        <v>0.14444444444444443</v>
      </c>
      <c r="C47" s="113">
        <v>3</v>
      </c>
      <c r="D47" s="160">
        <f t="shared" si="24"/>
        <v>80.111111111111114</v>
      </c>
      <c r="E47" s="160">
        <f t="shared" si="23"/>
        <v>85.776111111111135</v>
      </c>
      <c r="F47" s="160">
        <f t="shared" si="23"/>
        <v>91.441111111111127</v>
      </c>
      <c r="G47" s="160">
        <f t="shared" si="23"/>
        <v>97.106111111111133</v>
      </c>
      <c r="H47" s="160">
        <f t="shared" si="23"/>
        <v>102.77111111111113</v>
      </c>
      <c r="I47" s="160">
        <f t="shared" si="23"/>
        <v>108.43611111111113</v>
      </c>
      <c r="J47" s="160">
        <f t="shared" si="23"/>
        <v>114.10111111111114</v>
      </c>
      <c r="K47" s="160">
        <f t="shared" si="23"/>
        <v>119.76611111111113</v>
      </c>
      <c r="L47" s="160">
        <f t="shared" si="23"/>
        <v>125.43111111111111</v>
      </c>
      <c r="M47" s="160">
        <f t="shared" si="23"/>
        <v>131.0961111111111</v>
      </c>
      <c r="N47" s="160">
        <f t="shared" si="23"/>
        <v>136.76111111111112</v>
      </c>
      <c r="O47" s="160">
        <f t="shared" si="23"/>
        <v>142.42611111111111</v>
      </c>
      <c r="P47" s="160">
        <f t="shared" si="23"/>
        <v>148.0911111111111</v>
      </c>
      <c r="Q47" s="160">
        <f t="shared" si="23"/>
        <v>153.75611111111112</v>
      </c>
      <c r="R47" s="160">
        <f t="shared" si="23"/>
        <v>159.42111111111109</v>
      </c>
      <c r="S47" s="160">
        <f t="shared" si="23"/>
        <v>165.08611111111111</v>
      </c>
      <c r="T47" s="160">
        <f t="shared" si="23"/>
        <v>170.7511111111111</v>
      </c>
      <c r="U47" s="160">
        <f t="shared" si="23"/>
        <v>176.41611111111109</v>
      </c>
      <c r="V47" s="160">
        <f t="shared" si="23"/>
        <v>182.08111111111114</v>
      </c>
      <c r="W47" s="160">
        <f t="shared" si="23"/>
        <v>187.74611111111111</v>
      </c>
      <c r="X47" s="160">
        <f t="shared" si="23"/>
        <v>193.4111111111111</v>
      </c>
      <c r="Y47" s="160">
        <f t="shared" si="23"/>
        <v>199.07611111111112</v>
      </c>
      <c r="Z47" s="160">
        <f t="shared" si="23"/>
        <v>204.74111111111111</v>
      </c>
      <c r="AA47" s="160">
        <f t="shared" si="23"/>
        <v>210.4061111111111</v>
      </c>
      <c r="AB47" s="160">
        <f t="shared" si="23"/>
        <v>216.07111111111118</v>
      </c>
      <c r="AC47" s="160">
        <f t="shared" si="23"/>
        <v>221.73611111111114</v>
      </c>
      <c r="AD47" s="160">
        <f t="shared" si="23"/>
        <v>227.40111111111113</v>
      </c>
      <c r="AE47" s="160">
        <f t="shared" si="23"/>
        <v>233.06611111111118</v>
      </c>
      <c r="AF47" s="160">
        <f t="shared" si="23"/>
        <v>238.7311111111112</v>
      </c>
      <c r="AG47" s="160">
        <f t="shared" si="23"/>
        <v>244.39611111111122</v>
      </c>
      <c r="AH47" s="160">
        <f t="shared" si="23"/>
        <v>250.06111111111122</v>
      </c>
      <c r="AI47" s="160">
        <f t="shared" si="23"/>
        <v>255.72611111111118</v>
      </c>
      <c r="AJ47" s="160">
        <f t="shared" si="23"/>
        <v>261.39111111111123</v>
      </c>
      <c r="AK47" s="160">
        <f t="shared" si="23"/>
        <v>267.05611111111125</v>
      </c>
      <c r="AL47" s="160">
        <f t="shared" si="23"/>
        <v>272.72111111111127</v>
      </c>
      <c r="AM47" s="160">
        <f t="shared" si="23"/>
        <v>278.38611111111129</v>
      </c>
      <c r="AN47" s="160">
        <f t="shared" si="23"/>
        <v>284.05111111111131</v>
      </c>
      <c r="AO47" s="160">
        <f t="shared" si="23"/>
        <v>289.71611111111127</v>
      </c>
      <c r="AP47" s="160">
        <f t="shared" si="23"/>
        <v>295.3811111111113</v>
      </c>
      <c r="AQ47" s="160">
        <f t="shared" si="23"/>
        <v>301.04611111111132</v>
      </c>
      <c r="AR47" s="160">
        <f t="shared" si="23"/>
        <v>306.71111111111134</v>
      </c>
      <c r="AS47" s="160">
        <f t="shared" si="23"/>
        <v>312.37611111111136</v>
      </c>
      <c r="AT47" s="160">
        <f t="shared" si="23"/>
        <v>318.04111111111126</v>
      </c>
      <c r="AU47" s="160">
        <f t="shared" si="23"/>
        <v>323.7061111111114</v>
      </c>
      <c r="AV47" s="160">
        <f t="shared" si="23"/>
        <v>329.37111111111136</v>
      </c>
      <c r="AW47" s="160">
        <f t="shared" si="23"/>
        <v>335.03611111111138</v>
      </c>
      <c r="AX47" s="160">
        <f t="shared" si="23"/>
        <v>340.7011111111114</v>
      </c>
      <c r="AY47" s="160">
        <f t="shared" si="23"/>
        <v>346.36611111111142</v>
      </c>
      <c r="AZ47" s="160">
        <f t="shared" si="23"/>
        <v>352.03111111111139</v>
      </c>
      <c r="BA47" s="160">
        <f t="shared" si="23"/>
        <v>357.69611111111141</v>
      </c>
    </row>
    <row r="48" spans="1:53" x14ac:dyDescent="0.2">
      <c r="B48" s="139">
        <f>'매칭-전투력'!T75</f>
        <v>0.16666666666666669</v>
      </c>
      <c r="C48" s="113">
        <v>4</v>
      </c>
      <c r="D48" s="160">
        <f t="shared" si="24"/>
        <v>81.666666666666686</v>
      </c>
      <c r="E48" s="160">
        <f t="shared" si="23"/>
        <v>87.441666666666691</v>
      </c>
      <c r="F48" s="160">
        <f t="shared" si="23"/>
        <v>93.216666666666697</v>
      </c>
      <c r="G48" s="160">
        <f t="shared" si="23"/>
        <v>98.991666666666703</v>
      </c>
      <c r="H48" s="160">
        <f t="shared" si="23"/>
        <v>104.76666666666669</v>
      </c>
      <c r="I48" s="160">
        <f t="shared" si="23"/>
        <v>110.5416666666667</v>
      </c>
      <c r="J48" s="160">
        <f t="shared" si="23"/>
        <v>116.31666666666669</v>
      </c>
      <c r="K48" s="160">
        <f t="shared" si="23"/>
        <v>122.0916666666667</v>
      </c>
      <c r="L48" s="160">
        <f t="shared" si="23"/>
        <v>127.86666666666667</v>
      </c>
      <c r="M48" s="160">
        <f t="shared" si="23"/>
        <v>133.64166666666668</v>
      </c>
      <c r="N48" s="160">
        <f t="shared" si="23"/>
        <v>139.41666666666669</v>
      </c>
      <c r="O48" s="160">
        <f t="shared" si="23"/>
        <v>145.19166666666669</v>
      </c>
      <c r="P48" s="160">
        <f t="shared" si="23"/>
        <v>150.96666666666667</v>
      </c>
      <c r="Q48" s="160">
        <f t="shared" si="23"/>
        <v>156.7416666666667</v>
      </c>
      <c r="R48" s="160">
        <f t="shared" si="23"/>
        <v>162.51666666666668</v>
      </c>
      <c r="S48" s="160">
        <f t="shared" si="23"/>
        <v>168.29166666666669</v>
      </c>
      <c r="T48" s="160">
        <f t="shared" si="23"/>
        <v>174.06666666666666</v>
      </c>
      <c r="U48" s="160">
        <f t="shared" si="23"/>
        <v>179.84166666666667</v>
      </c>
      <c r="V48" s="160">
        <f t="shared" si="23"/>
        <v>185.6166666666667</v>
      </c>
      <c r="W48" s="160">
        <f t="shared" si="23"/>
        <v>191.39166666666668</v>
      </c>
      <c r="X48" s="160">
        <f t="shared" si="23"/>
        <v>197.16666666666669</v>
      </c>
      <c r="Y48" s="160">
        <f t="shared" si="23"/>
        <v>202.94166666666669</v>
      </c>
      <c r="Z48" s="160">
        <f t="shared" si="23"/>
        <v>208.7166666666667</v>
      </c>
      <c r="AA48" s="160">
        <f t="shared" si="23"/>
        <v>214.4916666666667</v>
      </c>
      <c r="AB48" s="160">
        <f t="shared" si="23"/>
        <v>220.26666666666674</v>
      </c>
      <c r="AC48" s="160">
        <f t="shared" si="23"/>
        <v>226.04166666666674</v>
      </c>
      <c r="AD48" s="160">
        <f t="shared" si="23"/>
        <v>231.81666666666675</v>
      </c>
      <c r="AE48" s="160">
        <f t="shared" si="23"/>
        <v>237.59166666666675</v>
      </c>
      <c r="AF48" s="160">
        <f t="shared" si="23"/>
        <v>243.36666666666679</v>
      </c>
      <c r="AG48" s="160">
        <f t="shared" si="23"/>
        <v>249.14166666666679</v>
      </c>
      <c r="AH48" s="160">
        <f t="shared" si="23"/>
        <v>254.9166666666668</v>
      </c>
      <c r="AI48" s="160">
        <f t="shared" si="23"/>
        <v>260.69166666666678</v>
      </c>
      <c r="AJ48" s="160">
        <f t="shared" si="23"/>
        <v>266.46666666666681</v>
      </c>
      <c r="AK48" s="160">
        <f t="shared" si="23"/>
        <v>272.24166666666684</v>
      </c>
      <c r="AL48" s="160">
        <f t="shared" si="23"/>
        <v>278.01666666666682</v>
      </c>
      <c r="AM48" s="160">
        <f t="shared" si="23"/>
        <v>283.79166666666686</v>
      </c>
      <c r="AN48" s="160">
        <f t="shared" si="23"/>
        <v>289.56666666666689</v>
      </c>
      <c r="AO48" s="160">
        <f t="shared" si="23"/>
        <v>295.34166666666687</v>
      </c>
      <c r="AP48" s="160">
        <f t="shared" si="23"/>
        <v>301.1166666666669</v>
      </c>
      <c r="AQ48" s="160">
        <f t="shared" si="23"/>
        <v>306.89166666666688</v>
      </c>
      <c r="AR48" s="160">
        <f t="shared" si="23"/>
        <v>312.66666666666686</v>
      </c>
      <c r="AS48" s="160">
        <f t="shared" si="23"/>
        <v>318.44166666666695</v>
      </c>
      <c r="AT48" s="160">
        <f t="shared" si="23"/>
        <v>324.21666666666687</v>
      </c>
      <c r="AU48" s="160">
        <f t="shared" si="23"/>
        <v>329.99166666666702</v>
      </c>
      <c r="AV48" s="160">
        <f t="shared" si="23"/>
        <v>335.76666666666699</v>
      </c>
      <c r="AW48" s="160">
        <f t="shared" si="23"/>
        <v>341.54166666666697</v>
      </c>
      <c r="AX48" s="160">
        <f t="shared" si="23"/>
        <v>347.316666666667</v>
      </c>
      <c r="AY48" s="160">
        <f t="shared" si="23"/>
        <v>353.09166666666704</v>
      </c>
      <c r="AZ48" s="160">
        <f t="shared" si="23"/>
        <v>358.86666666666702</v>
      </c>
      <c r="BA48" s="160">
        <f t="shared" si="23"/>
        <v>364.64166666666699</v>
      </c>
    </row>
    <row r="49" spans="2:53" x14ac:dyDescent="0.2">
      <c r="B49" s="139">
        <f>'매칭-전투력'!T76</f>
        <v>0.18888888888888888</v>
      </c>
      <c r="C49" s="113">
        <v>5</v>
      </c>
      <c r="D49" s="160">
        <f t="shared" si="24"/>
        <v>83.222222222222243</v>
      </c>
      <c r="E49" s="160">
        <f t="shared" si="23"/>
        <v>89.107222222222248</v>
      </c>
      <c r="F49" s="160">
        <f t="shared" si="23"/>
        <v>94.992222222222239</v>
      </c>
      <c r="G49" s="160">
        <f t="shared" si="23"/>
        <v>100.87722222222224</v>
      </c>
      <c r="H49" s="160">
        <f t="shared" si="23"/>
        <v>106.76222222222222</v>
      </c>
      <c r="I49" s="160">
        <f t="shared" si="23"/>
        <v>112.64722222222224</v>
      </c>
      <c r="J49" s="160">
        <f t="shared" si="23"/>
        <v>118.53222222222226</v>
      </c>
      <c r="K49" s="160">
        <f t="shared" si="23"/>
        <v>124.41722222222225</v>
      </c>
      <c r="L49" s="160">
        <f t="shared" si="23"/>
        <v>130.30222222222221</v>
      </c>
      <c r="M49" s="160">
        <f t="shared" si="23"/>
        <v>136.18722222222223</v>
      </c>
      <c r="N49" s="160">
        <f t="shared" si="23"/>
        <v>142.07222222222222</v>
      </c>
      <c r="O49" s="160">
        <f t="shared" si="23"/>
        <v>147.95722222222224</v>
      </c>
      <c r="P49" s="160">
        <f t="shared" si="23"/>
        <v>153.84222222222223</v>
      </c>
      <c r="Q49" s="160">
        <f t="shared" si="23"/>
        <v>159.72722222222225</v>
      </c>
      <c r="R49" s="160">
        <f t="shared" si="23"/>
        <v>165.61222222222221</v>
      </c>
      <c r="S49" s="160">
        <f t="shared" si="23"/>
        <v>171.49722222222221</v>
      </c>
      <c r="T49" s="160">
        <f t="shared" si="23"/>
        <v>177.38222222222223</v>
      </c>
      <c r="U49" s="160">
        <f t="shared" si="23"/>
        <v>183.26722222222222</v>
      </c>
      <c r="V49" s="160">
        <f t="shared" si="23"/>
        <v>189.15222222222226</v>
      </c>
      <c r="W49" s="160">
        <f t="shared" si="23"/>
        <v>195.03722222222223</v>
      </c>
      <c r="X49" s="160">
        <f t="shared" si="23"/>
        <v>200.92222222222222</v>
      </c>
      <c r="Y49" s="160">
        <f t="shared" si="23"/>
        <v>206.80722222222226</v>
      </c>
      <c r="Z49" s="160">
        <f t="shared" si="23"/>
        <v>212.6922222222222</v>
      </c>
      <c r="AA49" s="160">
        <f t="shared" si="23"/>
        <v>218.57722222222225</v>
      </c>
      <c r="AB49" s="160">
        <f t="shared" si="23"/>
        <v>224.46222222222227</v>
      </c>
      <c r="AC49" s="160">
        <f t="shared" si="23"/>
        <v>230.34722222222226</v>
      </c>
      <c r="AD49" s="160">
        <f t="shared" si="23"/>
        <v>236.23222222222225</v>
      </c>
      <c r="AE49" s="160">
        <f t="shared" si="23"/>
        <v>242.1172222222223</v>
      </c>
      <c r="AF49" s="160">
        <f t="shared" si="23"/>
        <v>248.00222222222231</v>
      </c>
      <c r="AG49" s="160">
        <f t="shared" si="23"/>
        <v>253.88722222222231</v>
      </c>
      <c r="AH49" s="160">
        <f t="shared" si="23"/>
        <v>259.7722222222223</v>
      </c>
      <c r="AI49" s="160">
        <f t="shared" si="23"/>
        <v>265.65722222222234</v>
      </c>
      <c r="AJ49" s="160">
        <f t="shared" si="23"/>
        <v>271.54222222222239</v>
      </c>
      <c r="AK49" s="160">
        <f t="shared" si="23"/>
        <v>277.42722222222238</v>
      </c>
      <c r="AL49" s="160">
        <f t="shared" si="23"/>
        <v>283.31222222222237</v>
      </c>
      <c r="AM49" s="160">
        <f t="shared" si="23"/>
        <v>289.19722222222242</v>
      </c>
      <c r="AN49" s="160">
        <f t="shared" si="23"/>
        <v>295.08222222222241</v>
      </c>
      <c r="AO49" s="160">
        <f t="shared" si="23"/>
        <v>300.9672222222224</v>
      </c>
      <c r="AP49" s="160">
        <f t="shared" si="23"/>
        <v>306.85222222222239</v>
      </c>
      <c r="AQ49" s="160">
        <f t="shared" si="23"/>
        <v>312.73722222222244</v>
      </c>
      <c r="AR49" s="160">
        <f t="shared" si="23"/>
        <v>318.62222222222243</v>
      </c>
      <c r="AS49" s="160">
        <f t="shared" si="23"/>
        <v>324.50722222222248</v>
      </c>
      <c r="AT49" s="160">
        <f t="shared" si="23"/>
        <v>330.39222222222241</v>
      </c>
      <c r="AU49" s="160">
        <f t="shared" si="23"/>
        <v>336.27722222222258</v>
      </c>
      <c r="AV49" s="160">
        <f t="shared" si="23"/>
        <v>342.16222222222251</v>
      </c>
      <c r="AW49" s="160">
        <f t="shared" si="23"/>
        <v>348.0472222222225</v>
      </c>
      <c r="AX49" s="160">
        <f t="shared" si="23"/>
        <v>353.93222222222255</v>
      </c>
      <c r="AY49" s="160">
        <f t="shared" si="23"/>
        <v>359.81722222222254</v>
      </c>
      <c r="AZ49" s="160">
        <f t="shared" si="23"/>
        <v>365.70222222222253</v>
      </c>
      <c r="BA49" s="160">
        <f t="shared" si="23"/>
        <v>371.58722222222252</v>
      </c>
    </row>
    <row r="50" spans="2:53" x14ac:dyDescent="0.2">
      <c r="B50" s="139">
        <f>'매칭-전투력'!T77</f>
        <v>0.21111111111111111</v>
      </c>
      <c r="C50" s="113">
        <v>6</v>
      </c>
      <c r="D50" s="160">
        <f t="shared" si="24"/>
        <v>84.777777777777786</v>
      </c>
      <c r="E50" s="160">
        <f t="shared" si="23"/>
        <v>90.772777777777804</v>
      </c>
      <c r="F50" s="160">
        <f t="shared" si="23"/>
        <v>96.767777777777809</v>
      </c>
      <c r="G50" s="160">
        <f t="shared" si="23"/>
        <v>102.7627777777778</v>
      </c>
      <c r="H50" s="160">
        <f t="shared" si="23"/>
        <v>108.75777777777778</v>
      </c>
      <c r="I50" s="160">
        <f t="shared" si="23"/>
        <v>114.75277777777781</v>
      </c>
      <c r="J50" s="160">
        <f t="shared" si="23"/>
        <v>120.74777777777778</v>
      </c>
      <c r="K50" s="160">
        <f t="shared" si="23"/>
        <v>126.74277777777779</v>
      </c>
      <c r="L50" s="160">
        <f t="shared" si="23"/>
        <v>132.73777777777778</v>
      </c>
      <c r="M50" s="160">
        <f t="shared" si="23"/>
        <v>138.73277777777778</v>
      </c>
      <c r="N50" s="160">
        <f t="shared" si="23"/>
        <v>144.72777777777776</v>
      </c>
      <c r="O50" s="160">
        <f t="shared" si="23"/>
        <v>150.72277777777779</v>
      </c>
      <c r="P50" s="160">
        <f t="shared" si="23"/>
        <v>156.71777777777777</v>
      </c>
      <c r="Q50" s="160">
        <f t="shared" si="23"/>
        <v>162.7127777777778</v>
      </c>
      <c r="R50" s="160">
        <f t="shared" si="23"/>
        <v>168.70777777777775</v>
      </c>
      <c r="S50" s="160">
        <f t="shared" si="23"/>
        <v>174.70277777777775</v>
      </c>
      <c r="T50" s="160">
        <f t="shared" si="23"/>
        <v>180.69777777777776</v>
      </c>
      <c r="U50" s="160">
        <f t="shared" si="23"/>
        <v>186.69277777777776</v>
      </c>
      <c r="V50" s="160">
        <f t="shared" si="23"/>
        <v>192.6877777777778</v>
      </c>
      <c r="W50" s="160">
        <f t="shared" si="23"/>
        <v>198.68277777777774</v>
      </c>
      <c r="X50" s="160">
        <f t="shared" si="23"/>
        <v>204.67777777777775</v>
      </c>
      <c r="Y50" s="160">
        <f t="shared" si="23"/>
        <v>210.67277777777781</v>
      </c>
      <c r="Z50" s="160">
        <f t="shared" si="23"/>
        <v>216.66777777777776</v>
      </c>
      <c r="AA50" s="160">
        <f t="shared" si="23"/>
        <v>222.66277777777776</v>
      </c>
      <c r="AB50" s="160">
        <f t="shared" si="23"/>
        <v>228.6577777777778</v>
      </c>
      <c r="AC50" s="160">
        <f t="shared" si="23"/>
        <v>234.65277777777783</v>
      </c>
      <c r="AD50" s="160">
        <f t="shared" ref="E50:BA54" si="25">(AD$26*(1+$B50))/10</f>
        <v>240.6477777777778</v>
      </c>
      <c r="AE50" s="160">
        <f t="shared" si="25"/>
        <v>246.64277777777784</v>
      </c>
      <c r="AF50" s="160">
        <f t="shared" si="25"/>
        <v>252.63777777777787</v>
      </c>
      <c r="AG50" s="160">
        <f t="shared" si="25"/>
        <v>258.6327777777779</v>
      </c>
      <c r="AH50" s="160">
        <f t="shared" si="25"/>
        <v>264.62777777777785</v>
      </c>
      <c r="AI50" s="160">
        <f t="shared" si="25"/>
        <v>270.62277777777786</v>
      </c>
      <c r="AJ50" s="160">
        <f t="shared" si="25"/>
        <v>276.61777777777792</v>
      </c>
      <c r="AK50" s="160">
        <f t="shared" si="25"/>
        <v>282.61277777777792</v>
      </c>
      <c r="AL50" s="160">
        <f t="shared" si="25"/>
        <v>288.60777777777793</v>
      </c>
      <c r="AM50" s="160">
        <f t="shared" si="25"/>
        <v>294.60277777777793</v>
      </c>
      <c r="AN50" s="160">
        <f t="shared" si="25"/>
        <v>300.59777777777799</v>
      </c>
      <c r="AO50" s="160">
        <f t="shared" si="25"/>
        <v>306.592777777778</v>
      </c>
      <c r="AP50" s="160">
        <f t="shared" si="25"/>
        <v>312.58777777777794</v>
      </c>
      <c r="AQ50" s="160">
        <f t="shared" si="25"/>
        <v>318.58277777777801</v>
      </c>
      <c r="AR50" s="160">
        <f t="shared" si="25"/>
        <v>324.57777777777795</v>
      </c>
      <c r="AS50" s="160">
        <f t="shared" si="25"/>
        <v>330.57277777777801</v>
      </c>
      <c r="AT50" s="160">
        <f t="shared" si="25"/>
        <v>336.56777777777796</v>
      </c>
      <c r="AU50" s="160">
        <f t="shared" si="25"/>
        <v>342.56277777777808</v>
      </c>
      <c r="AV50" s="160">
        <f t="shared" si="25"/>
        <v>348.55777777777803</v>
      </c>
      <c r="AW50" s="160">
        <f t="shared" si="25"/>
        <v>354.55277777777803</v>
      </c>
      <c r="AX50" s="160">
        <f t="shared" si="25"/>
        <v>360.54777777777809</v>
      </c>
      <c r="AY50" s="160">
        <f t="shared" si="25"/>
        <v>366.54277777777804</v>
      </c>
      <c r="AZ50" s="160">
        <f t="shared" si="25"/>
        <v>372.5377777777781</v>
      </c>
      <c r="BA50" s="160">
        <f t="shared" si="25"/>
        <v>378.53277777777805</v>
      </c>
    </row>
    <row r="51" spans="2:53" x14ac:dyDescent="0.2">
      <c r="B51" s="139">
        <f>'매칭-전투력'!T78</f>
        <v>0.23333333333333334</v>
      </c>
      <c r="C51" s="113">
        <v>7</v>
      </c>
      <c r="D51" s="160">
        <f t="shared" si="24"/>
        <v>86.333333333333343</v>
      </c>
      <c r="E51" s="160">
        <f t="shared" si="25"/>
        <v>92.438333333333361</v>
      </c>
      <c r="F51" s="160">
        <f t="shared" si="25"/>
        <v>98.543333333333365</v>
      </c>
      <c r="G51" s="160">
        <f t="shared" si="25"/>
        <v>104.64833333333335</v>
      </c>
      <c r="H51" s="160">
        <f t="shared" si="25"/>
        <v>110.75333333333336</v>
      </c>
      <c r="I51" s="160">
        <f t="shared" si="25"/>
        <v>116.85833333333338</v>
      </c>
      <c r="J51" s="160">
        <f t="shared" si="25"/>
        <v>122.96333333333337</v>
      </c>
      <c r="K51" s="160">
        <f t="shared" si="25"/>
        <v>129.06833333333336</v>
      </c>
      <c r="L51" s="160">
        <f t="shared" si="25"/>
        <v>135.17333333333335</v>
      </c>
      <c r="M51" s="160">
        <f t="shared" si="25"/>
        <v>141.27833333333334</v>
      </c>
      <c r="N51" s="160">
        <f t="shared" si="25"/>
        <v>147.38333333333335</v>
      </c>
      <c r="O51" s="160">
        <f t="shared" si="25"/>
        <v>153.48833333333337</v>
      </c>
      <c r="P51" s="160">
        <f t="shared" si="25"/>
        <v>159.59333333333333</v>
      </c>
      <c r="Q51" s="160">
        <f t="shared" si="25"/>
        <v>165.69833333333338</v>
      </c>
      <c r="R51" s="160">
        <f t="shared" si="25"/>
        <v>171.80333333333334</v>
      </c>
      <c r="S51" s="160">
        <f t="shared" si="25"/>
        <v>177.90833333333336</v>
      </c>
      <c r="T51" s="160">
        <f t="shared" si="25"/>
        <v>184.01333333333335</v>
      </c>
      <c r="U51" s="160">
        <f t="shared" si="25"/>
        <v>190.11833333333334</v>
      </c>
      <c r="V51" s="160">
        <f t="shared" si="25"/>
        <v>196.22333333333339</v>
      </c>
      <c r="W51" s="160">
        <f t="shared" si="25"/>
        <v>202.32833333333335</v>
      </c>
      <c r="X51" s="160">
        <f t="shared" si="25"/>
        <v>208.43333333333334</v>
      </c>
      <c r="Y51" s="160">
        <f t="shared" si="25"/>
        <v>214.53833333333336</v>
      </c>
      <c r="Z51" s="160">
        <f t="shared" si="25"/>
        <v>220.64333333333335</v>
      </c>
      <c r="AA51" s="160">
        <f t="shared" si="25"/>
        <v>226.74833333333336</v>
      </c>
      <c r="AB51" s="160">
        <f t="shared" si="25"/>
        <v>232.85333333333341</v>
      </c>
      <c r="AC51" s="160">
        <f t="shared" si="25"/>
        <v>238.9583333333334</v>
      </c>
      <c r="AD51" s="160">
        <f t="shared" si="25"/>
        <v>245.06333333333342</v>
      </c>
      <c r="AE51" s="160">
        <f t="shared" si="25"/>
        <v>251.16833333333344</v>
      </c>
      <c r="AF51" s="160">
        <f t="shared" si="25"/>
        <v>257.27333333333343</v>
      </c>
      <c r="AG51" s="160">
        <f t="shared" si="25"/>
        <v>263.37833333333344</v>
      </c>
      <c r="AH51" s="160">
        <f t="shared" si="25"/>
        <v>269.48333333333346</v>
      </c>
      <c r="AI51" s="160">
        <f t="shared" si="25"/>
        <v>275.58833333333348</v>
      </c>
      <c r="AJ51" s="160">
        <f t="shared" si="25"/>
        <v>281.6933333333335</v>
      </c>
      <c r="AK51" s="160">
        <f t="shared" si="25"/>
        <v>287.79833333333352</v>
      </c>
      <c r="AL51" s="160">
        <f t="shared" si="25"/>
        <v>293.90333333333353</v>
      </c>
      <c r="AM51" s="160">
        <f t="shared" si="25"/>
        <v>300.00833333333355</v>
      </c>
      <c r="AN51" s="160">
        <f t="shared" si="25"/>
        <v>306.11333333333357</v>
      </c>
      <c r="AO51" s="160">
        <f t="shared" si="25"/>
        <v>312.21833333333359</v>
      </c>
      <c r="AP51" s="160">
        <f t="shared" si="25"/>
        <v>318.32333333333361</v>
      </c>
      <c r="AQ51" s="160">
        <f t="shared" si="25"/>
        <v>324.42833333333357</v>
      </c>
      <c r="AR51" s="160">
        <f t="shared" si="25"/>
        <v>330.53333333333359</v>
      </c>
      <c r="AS51" s="160">
        <f t="shared" si="25"/>
        <v>336.63833333333366</v>
      </c>
      <c r="AT51" s="160">
        <f t="shared" si="25"/>
        <v>342.74333333333357</v>
      </c>
      <c r="AU51" s="160">
        <f t="shared" si="25"/>
        <v>348.8483333333337</v>
      </c>
      <c r="AV51" s="160">
        <f t="shared" si="25"/>
        <v>354.95333333333366</v>
      </c>
      <c r="AW51" s="160">
        <f t="shared" si="25"/>
        <v>361.05833333333362</v>
      </c>
      <c r="AX51" s="160">
        <f t="shared" si="25"/>
        <v>367.1633333333337</v>
      </c>
      <c r="AY51" s="160">
        <f t="shared" si="25"/>
        <v>373.26833333333371</v>
      </c>
      <c r="AZ51" s="160">
        <f t="shared" si="25"/>
        <v>379.37333333333368</v>
      </c>
      <c r="BA51" s="160">
        <f t="shared" si="25"/>
        <v>385.47833333333369</v>
      </c>
    </row>
    <row r="52" spans="2:53" x14ac:dyDescent="0.2">
      <c r="B52" s="139">
        <f>'매칭-전투력'!T79</f>
        <v>0.25555555555555554</v>
      </c>
      <c r="C52" s="113">
        <v>8</v>
      </c>
      <c r="D52" s="160">
        <f t="shared" si="24"/>
        <v>87.8888888888889</v>
      </c>
      <c r="E52" s="160">
        <f t="shared" si="25"/>
        <v>94.103888888888918</v>
      </c>
      <c r="F52" s="160">
        <f t="shared" si="25"/>
        <v>100.31888888888892</v>
      </c>
      <c r="G52" s="160">
        <f t="shared" si="25"/>
        <v>106.53388888888892</v>
      </c>
      <c r="H52" s="160">
        <f t="shared" si="25"/>
        <v>112.7488888888889</v>
      </c>
      <c r="I52" s="160">
        <f t="shared" si="25"/>
        <v>118.96388888888892</v>
      </c>
      <c r="J52" s="160">
        <f t="shared" si="25"/>
        <v>125.17888888888892</v>
      </c>
      <c r="K52" s="160">
        <f t="shared" si="25"/>
        <v>131.39388888888891</v>
      </c>
      <c r="L52" s="160">
        <f t="shared" si="25"/>
        <v>137.60888888888888</v>
      </c>
      <c r="M52" s="160">
        <f t="shared" si="25"/>
        <v>143.82388888888889</v>
      </c>
      <c r="N52" s="160">
        <f t="shared" si="25"/>
        <v>150.03888888888889</v>
      </c>
      <c r="O52" s="160">
        <f t="shared" si="25"/>
        <v>156.25388888888892</v>
      </c>
      <c r="P52" s="160">
        <f t="shared" si="25"/>
        <v>162.4688888888889</v>
      </c>
      <c r="Q52" s="160">
        <f t="shared" si="25"/>
        <v>168.68388888888893</v>
      </c>
      <c r="R52" s="160">
        <f t="shared" si="25"/>
        <v>174.89888888888888</v>
      </c>
      <c r="S52" s="160">
        <f t="shared" si="25"/>
        <v>181.11388888888888</v>
      </c>
      <c r="T52" s="160">
        <f t="shared" si="25"/>
        <v>187.32888888888888</v>
      </c>
      <c r="U52" s="160">
        <f t="shared" si="25"/>
        <v>193.54388888888889</v>
      </c>
      <c r="V52" s="160">
        <f t="shared" si="25"/>
        <v>199.75888888888892</v>
      </c>
      <c r="W52" s="160">
        <f t="shared" si="25"/>
        <v>205.97388888888889</v>
      </c>
      <c r="X52" s="160">
        <f t="shared" si="25"/>
        <v>212.18888888888887</v>
      </c>
      <c r="Y52" s="160">
        <f t="shared" si="25"/>
        <v>218.40388888888893</v>
      </c>
      <c r="Z52" s="160">
        <f t="shared" si="25"/>
        <v>224.61888888888888</v>
      </c>
      <c r="AA52" s="160">
        <f t="shared" si="25"/>
        <v>230.83388888888891</v>
      </c>
      <c r="AB52" s="160">
        <f t="shared" si="25"/>
        <v>237.04888888888894</v>
      </c>
      <c r="AC52" s="160">
        <f t="shared" si="25"/>
        <v>243.26388888888897</v>
      </c>
      <c r="AD52" s="160">
        <f t="shared" si="25"/>
        <v>249.47888888888892</v>
      </c>
      <c r="AE52" s="160">
        <f t="shared" si="25"/>
        <v>255.69388888888898</v>
      </c>
      <c r="AF52" s="160">
        <f t="shared" si="25"/>
        <v>261.90888888888901</v>
      </c>
      <c r="AG52" s="160">
        <f t="shared" si="25"/>
        <v>268.12388888888898</v>
      </c>
      <c r="AH52" s="160">
        <f t="shared" si="25"/>
        <v>274.33888888888902</v>
      </c>
      <c r="AI52" s="160">
        <f t="shared" si="25"/>
        <v>280.55388888888899</v>
      </c>
      <c r="AJ52" s="160">
        <f t="shared" si="25"/>
        <v>286.76888888888908</v>
      </c>
      <c r="AK52" s="160">
        <f t="shared" si="25"/>
        <v>292.98388888888906</v>
      </c>
      <c r="AL52" s="160">
        <f t="shared" si="25"/>
        <v>299.19888888888903</v>
      </c>
      <c r="AM52" s="160">
        <f t="shared" si="25"/>
        <v>305.41388888888906</v>
      </c>
      <c r="AN52" s="160">
        <f t="shared" si="25"/>
        <v>311.62888888888909</v>
      </c>
      <c r="AO52" s="160">
        <f t="shared" si="25"/>
        <v>317.84388888888913</v>
      </c>
      <c r="AP52" s="160">
        <f t="shared" si="25"/>
        <v>324.0588888888891</v>
      </c>
      <c r="AQ52" s="160">
        <f t="shared" si="25"/>
        <v>330.27388888888913</v>
      </c>
      <c r="AR52" s="160">
        <f t="shared" si="25"/>
        <v>336.48888888888911</v>
      </c>
      <c r="AS52" s="160">
        <f t="shared" si="25"/>
        <v>342.70388888888914</v>
      </c>
      <c r="AT52" s="160">
        <f t="shared" si="25"/>
        <v>348.91888888888911</v>
      </c>
      <c r="AU52" s="160">
        <f t="shared" si="25"/>
        <v>355.1338888888892</v>
      </c>
      <c r="AV52" s="160">
        <f t="shared" si="25"/>
        <v>361.34888888888918</v>
      </c>
      <c r="AW52" s="160">
        <f t="shared" si="25"/>
        <v>367.56388888888921</v>
      </c>
      <c r="AX52" s="160">
        <f t="shared" si="25"/>
        <v>373.77888888888924</v>
      </c>
      <c r="AY52" s="160">
        <f t="shared" si="25"/>
        <v>379.99388888888922</v>
      </c>
      <c r="AZ52" s="160">
        <f t="shared" si="25"/>
        <v>386.20888888888919</v>
      </c>
      <c r="BA52" s="160">
        <f t="shared" si="25"/>
        <v>392.42388888888922</v>
      </c>
    </row>
    <row r="53" spans="2:53" x14ac:dyDescent="0.2">
      <c r="B53" s="139">
        <f>'매칭-전투력'!T80</f>
        <v>0.27777777777777779</v>
      </c>
      <c r="C53" s="113">
        <v>9</v>
      </c>
      <c r="D53" s="160">
        <f t="shared" si="24"/>
        <v>89.444444444444457</v>
      </c>
      <c r="E53" s="160">
        <f t="shared" si="25"/>
        <v>95.769444444444474</v>
      </c>
      <c r="F53" s="160">
        <f t="shared" si="25"/>
        <v>102.09444444444446</v>
      </c>
      <c r="G53" s="160">
        <f t="shared" si="25"/>
        <v>108.41944444444445</v>
      </c>
      <c r="H53" s="160">
        <f t="shared" si="25"/>
        <v>114.74444444444445</v>
      </c>
      <c r="I53" s="160">
        <f t="shared" si="25"/>
        <v>121.06944444444446</v>
      </c>
      <c r="J53" s="160">
        <f t="shared" si="25"/>
        <v>127.39444444444446</v>
      </c>
      <c r="K53" s="160">
        <f t="shared" si="25"/>
        <v>133.71944444444446</v>
      </c>
      <c r="L53" s="160">
        <f t="shared" si="25"/>
        <v>140.04444444444442</v>
      </c>
      <c r="M53" s="160">
        <f t="shared" si="25"/>
        <v>146.36944444444444</v>
      </c>
      <c r="N53" s="160">
        <f t="shared" si="25"/>
        <v>152.69444444444443</v>
      </c>
      <c r="O53" s="160">
        <f t="shared" si="25"/>
        <v>159.01944444444445</v>
      </c>
      <c r="P53" s="160">
        <f t="shared" si="25"/>
        <v>165.34444444444443</v>
      </c>
      <c r="Q53" s="160">
        <f t="shared" si="25"/>
        <v>171.66944444444445</v>
      </c>
      <c r="R53" s="160">
        <f t="shared" si="25"/>
        <v>177.99444444444444</v>
      </c>
      <c r="S53" s="160">
        <f t="shared" si="25"/>
        <v>184.31944444444443</v>
      </c>
      <c r="T53" s="160">
        <f t="shared" si="25"/>
        <v>190.64444444444445</v>
      </c>
      <c r="U53" s="160">
        <f t="shared" si="25"/>
        <v>196.96944444444443</v>
      </c>
      <c r="V53" s="160">
        <f t="shared" si="25"/>
        <v>203.29444444444445</v>
      </c>
      <c r="W53" s="160">
        <f t="shared" si="25"/>
        <v>209.61944444444444</v>
      </c>
      <c r="X53" s="160">
        <f t="shared" si="25"/>
        <v>215.94444444444443</v>
      </c>
      <c r="Y53" s="160">
        <f t="shared" si="25"/>
        <v>222.26944444444445</v>
      </c>
      <c r="Z53" s="160">
        <f t="shared" si="25"/>
        <v>228.59444444444443</v>
      </c>
      <c r="AA53" s="160">
        <f t="shared" si="25"/>
        <v>234.91944444444442</v>
      </c>
      <c r="AB53" s="160">
        <f t="shared" si="25"/>
        <v>241.24444444444447</v>
      </c>
      <c r="AC53" s="160">
        <f t="shared" si="25"/>
        <v>247.56944444444449</v>
      </c>
      <c r="AD53" s="160">
        <f t="shared" si="25"/>
        <v>253.89444444444447</v>
      </c>
      <c r="AE53" s="160">
        <f t="shared" si="25"/>
        <v>260.21944444444455</v>
      </c>
      <c r="AF53" s="160">
        <f t="shared" si="25"/>
        <v>266.54444444444454</v>
      </c>
      <c r="AG53" s="160">
        <f t="shared" si="25"/>
        <v>272.86944444444453</v>
      </c>
      <c r="AH53" s="160">
        <f t="shared" si="25"/>
        <v>279.19444444444451</v>
      </c>
      <c r="AI53" s="160">
        <f t="shared" si="25"/>
        <v>285.5194444444445</v>
      </c>
      <c r="AJ53" s="160">
        <f t="shared" si="25"/>
        <v>291.8444444444446</v>
      </c>
      <c r="AK53" s="160">
        <f t="shared" si="25"/>
        <v>298.16944444444459</v>
      </c>
      <c r="AL53" s="160">
        <f t="shared" si="25"/>
        <v>304.49444444444464</v>
      </c>
      <c r="AM53" s="160">
        <f t="shared" si="25"/>
        <v>310.81944444444463</v>
      </c>
      <c r="AN53" s="160">
        <f t="shared" si="25"/>
        <v>317.14444444444467</v>
      </c>
      <c r="AO53" s="160">
        <f t="shared" si="25"/>
        <v>323.46944444444466</v>
      </c>
      <c r="AP53" s="160">
        <f t="shared" si="25"/>
        <v>329.79444444444465</v>
      </c>
      <c r="AQ53" s="160">
        <f t="shared" si="25"/>
        <v>336.11944444444464</v>
      </c>
      <c r="AR53" s="160">
        <f t="shared" si="25"/>
        <v>342.44444444444468</v>
      </c>
      <c r="AS53" s="160">
        <f t="shared" si="25"/>
        <v>348.76944444444473</v>
      </c>
      <c r="AT53" s="160">
        <f t="shared" si="25"/>
        <v>355.09444444444466</v>
      </c>
      <c r="AU53" s="160">
        <f t="shared" si="25"/>
        <v>361.41944444444476</v>
      </c>
      <c r="AV53" s="160">
        <f t="shared" si="25"/>
        <v>367.7444444444447</v>
      </c>
      <c r="AW53" s="160">
        <f t="shared" si="25"/>
        <v>374.06944444444468</v>
      </c>
      <c r="AX53" s="160">
        <f t="shared" si="25"/>
        <v>380.39444444444473</v>
      </c>
      <c r="AY53" s="160">
        <f t="shared" si="25"/>
        <v>386.71944444444478</v>
      </c>
      <c r="AZ53" s="160">
        <f t="shared" si="25"/>
        <v>393.04444444444476</v>
      </c>
      <c r="BA53" s="160">
        <f t="shared" si="25"/>
        <v>399.36944444444475</v>
      </c>
    </row>
    <row r="54" spans="2:53" x14ac:dyDescent="0.2">
      <c r="B54" s="139">
        <f>'매칭-전투력'!T81</f>
        <v>0.30000000000000004</v>
      </c>
      <c r="C54" s="113">
        <v>10</v>
      </c>
      <c r="D54" s="160">
        <f t="shared" si="24"/>
        <v>91.000000000000028</v>
      </c>
      <c r="E54" s="160">
        <f t="shared" si="25"/>
        <v>97.435000000000031</v>
      </c>
      <c r="F54" s="160">
        <f t="shared" si="25"/>
        <v>103.87000000000003</v>
      </c>
      <c r="G54" s="160">
        <f t="shared" si="25"/>
        <v>110.30500000000004</v>
      </c>
      <c r="H54" s="160">
        <f t="shared" si="25"/>
        <v>116.74000000000001</v>
      </c>
      <c r="I54" s="160">
        <f t="shared" si="25"/>
        <v>123.17500000000003</v>
      </c>
      <c r="J54" s="160">
        <f t="shared" si="25"/>
        <v>129.61000000000004</v>
      </c>
      <c r="K54" s="160">
        <f t="shared" si="25"/>
        <v>136.04500000000002</v>
      </c>
      <c r="L54" s="160">
        <f t="shared" si="25"/>
        <v>142.47999999999999</v>
      </c>
      <c r="M54" s="160">
        <f t="shared" si="25"/>
        <v>148.91500000000002</v>
      </c>
      <c r="N54" s="160">
        <f t="shared" si="25"/>
        <v>155.35</v>
      </c>
      <c r="O54" s="160">
        <f t="shared" si="25"/>
        <v>161.78500000000003</v>
      </c>
      <c r="P54" s="160">
        <f t="shared" si="25"/>
        <v>168.22</v>
      </c>
      <c r="Q54" s="160">
        <f t="shared" si="25"/>
        <v>174.65500000000003</v>
      </c>
      <c r="R54" s="160">
        <f t="shared" si="25"/>
        <v>181.09</v>
      </c>
      <c r="S54" s="160">
        <f t="shared" si="25"/>
        <v>187.52500000000001</v>
      </c>
      <c r="T54" s="160">
        <f t="shared" si="25"/>
        <v>193.96</v>
      </c>
      <c r="U54" s="160">
        <f t="shared" si="25"/>
        <v>200.39500000000001</v>
      </c>
      <c r="V54" s="160">
        <f t="shared" si="25"/>
        <v>206.83</v>
      </c>
      <c r="W54" s="160">
        <f t="shared" si="25"/>
        <v>213.26500000000001</v>
      </c>
      <c r="X54" s="160">
        <f t="shared" si="25"/>
        <v>219.7</v>
      </c>
      <c r="Y54" s="160">
        <f t="shared" si="25"/>
        <v>226.13500000000005</v>
      </c>
      <c r="Z54" s="160">
        <f t="shared" si="25"/>
        <v>232.57000000000002</v>
      </c>
      <c r="AA54" s="160">
        <f t="shared" si="25"/>
        <v>239.00500000000002</v>
      </c>
      <c r="AB54" s="160">
        <f t="shared" si="25"/>
        <v>245.44000000000005</v>
      </c>
      <c r="AC54" s="160">
        <f t="shared" si="25"/>
        <v>251.87500000000006</v>
      </c>
      <c r="AD54" s="160">
        <f t="shared" si="25"/>
        <v>258.31000000000006</v>
      </c>
      <c r="AE54" s="160">
        <f t="shared" si="25"/>
        <v>264.74500000000012</v>
      </c>
      <c r="AF54" s="160">
        <f t="shared" si="25"/>
        <v>271.18000000000012</v>
      </c>
      <c r="AG54" s="160">
        <f t="shared" si="25"/>
        <v>277.61500000000012</v>
      </c>
      <c r="AH54" s="160">
        <f t="shared" si="25"/>
        <v>284.05000000000013</v>
      </c>
      <c r="AI54" s="160">
        <f t="shared" si="25"/>
        <v>290.48500000000013</v>
      </c>
      <c r="AJ54" s="160">
        <f t="shared" si="25"/>
        <v>296.92000000000019</v>
      </c>
      <c r="AK54" s="160">
        <f t="shared" si="25"/>
        <v>303.35500000000019</v>
      </c>
      <c r="AL54" s="160">
        <f t="shared" si="25"/>
        <v>309.79000000000019</v>
      </c>
      <c r="AM54" s="160">
        <f t="shared" si="25"/>
        <v>316.22500000000019</v>
      </c>
      <c r="AN54" s="160">
        <f t="shared" si="25"/>
        <v>322.66000000000025</v>
      </c>
      <c r="AO54" s="160">
        <f t="shared" si="25"/>
        <v>329.09500000000025</v>
      </c>
      <c r="AP54" s="160">
        <f t="shared" si="25"/>
        <v>335.53000000000026</v>
      </c>
      <c r="AQ54" s="160">
        <f t="shared" si="25"/>
        <v>341.96500000000026</v>
      </c>
      <c r="AR54" s="160">
        <f t="shared" si="25"/>
        <v>348.4000000000002</v>
      </c>
      <c r="AS54" s="160">
        <f t="shared" si="25"/>
        <v>354.83500000000032</v>
      </c>
      <c r="AT54" s="160">
        <f t="shared" si="25"/>
        <v>361.27000000000027</v>
      </c>
      <c r="AU54" s="160">
        <f t="shared" si="25"/>
        <v>367.70500000000038</v>
      </c>
      <c r="AV54" s="160">
        <f t="shared" si="25"/>
        <v>374.14000000000033</v>
      </c>
      <c r="AW54" s="160">
        <f t="shared" si="25"/>
        <v>380.57500000000033</v>
      </c>
      <c r="AX54" s="160">
        <f t="shared" si="25"/>
        <v>387.01000000000033</v>
      </c>
      <c r="AY54" s="160">
        <f t="shared" si="25"/>
        <v>393.44500000000033</v>
      </c>
      <c r="AZ54" s="160">
        <f t="shared" si="25"/>
        <v>399.88000000000039</v>
      </c>
      <c r="BA54" s="160">
        <f t="shared" si="25"/>
        <v>406.3150000000004</v>
      </c>
    </row>
    <row r="55" spans="2:53" ht="20.25" x14ac:dyDescent="0.35">
      <c r="C55" s="131" t="s">
        <v>290</v>
      </c>
    </row>
    <row r="56" spans="2:53" x14ac:dyDescent="0.2">
      <c r="B56" s="101" t="s">
        <v>158</v>
      </c>
      <c r="C56" s="168" t="s">
        <v>288</v>
      </c>
      <c r="D56" s="156" t="s">
        <v>206</v>
      </c>
      <c r="E56" s="156"/>
      <c r="F56" s="156"/>
      <c r="G56" s="156"/>
      <c r="H56" s="156"/>
      <c r="I56" s="156"/>
      <c r="J56" s="156"/>
      <c r="K56" s="164" t="e">
        <f>'매칭-전투력'!#REF!</f>
        <v>#REF!</v>
      </c>
      <c r="L56" s="156"/>
      <c r="M56" s="156"/>
      <c r="O56" s="165" t="e">
        <f>'매칭-전투력'!#REF!</f>
        <v>#REF!</v>
      </c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7"/>
    </row>
    <row r="57" spans="2:53" x14ac:dyDescent="0.2">
      <c r="B57" s="128">
        <v>16</v>
      </c>
      <c r="C57" s="110" t="s">
        <v>287</v>
      </c>
      <c r="D57" s="159">
        <v>1</v>
      </c>
      <c r="E57" s="159">
        <v>2</v>
      </c>
      <c r="F57" s="159">
        <v>3</v>
      </c>
      <c r="G57" s="159">
        <v>4</v>
      </c>
      <c r="H57" s="159">
        <v>5</v>
      </c>
      <c r="I57" s="159">
        <v>6</v>
      </c>
      <c r="J57" s="159">
        <v>7</v>
      </c>
      <c r="K57" s="159">
        <v>8</v>
      </c>
      <c r="L57" s="159">
        <v>9</v>
      </c>
      <c r="M57" s="159">
        <v>10</v>
      </c>
      <c r="N57" s="159">
        <v>11</v>
      </c>
      <c r="O57" s="159">
        <v>12</v>
      </c>
      <c r="P57" s="159">
        <v>13</v>
      </c>
      <c r="Q57" s="159">
        <v>14</v>
      </c>
      <c r="R57" s="159">
        <v>15</v>
      </c>
      <c r="S57" s="159">
        <v>16</v>
      </c>
      <c r="T57" s="159">
        <v>17</v>
      </c>
      <c r="U57" s="159">
        <v>18</v>
      </c>
      <c r="V57" s="159">
        <v>19</v>
      </c>
      <c r="W57" s="159">
        <v>20</v>
      </c>
      <c r="X57" s="159">
        <v>21</v>
      </c>
      <c r="Y57" s="159">
        <v>22</v>
      </c>
      <c r="Z57" s="159">
        <v>23</v>
      </c>
      <c r="AA57" s="159">
        <v>24</v>
      </c>
      <c r="AB57" s="159">
        <v>25</v>
      </c>
      <c r="AC57" s="159">
        <v>26</v>
      </c>
      <c r="AD57" s="159">
        <v>27</v>
      </c>
      <c r="AE57" s="159">
        <v>28</v>
      </c>
      <c r="AF57" s="159">
        <v>29</v>
      </c>
      <c r="AG57" s="159">
        <v>30</v>
      </c>
      <c r="AH57" s="159">
        <v>31</v>
      </c>
      <c r="AI57" s="159">
        <v>32</v>
      </c>
      <c r="AJ57" s="159">
        <v>33</v>
      </c>
      <c r="AK57" s="159">
        <v>34</v>
      </c>
      <c r="AL57" s="159">
        <v>35</v>
      </c>
      <c r="AM57" s="159">
        <v>36</v>
      </c>
      <c r="AN57" s="159">
        <v>37</v>
      </c>
      <c r="AO57" s="159">
        <v>38</v>
      </c>
      <c r="AP57" s="159">
        <v>39</v>
      </c>
      <c r="AQ57" s="159">
        <v>40</v>
      </c>
      <c r="AR57" s="159">
        <v>41</v>
      </c>
      <c r="AS57" s="159">
        <v>42</v>
      </c>
      <c r="AT57" s="159">
        <v>43</v>
      </c>
      <c r="AU57" s="159">
        <v>44</v>
      </c>
      <c r="AV57" s="159">
        <v>45</v>
      </c>
      <c r="AW57" s="159">
        <v>46</v>
      </c>
      <c r="AX57" s="159">
        <v>47</v>
      </c>
      <c r="AY57" s="159">
        <v>48</v>
      </c>
      <c r="AZ57" s="159">
        <v>49</v>
      </c>
      <c r="BA57" s="159">
        <v>50</v>
      </c>
    </row>
    <row r="58" spans="2:53" x14ac:dyDescent="0.2">
      <c r="B58" s="139">
        <f>'매칭-전투력'!T72</f>
        <v>0.1</v>
      </c>
      <c r="C58" s="113">
        <v>1</v>
      </c>
      <c r="D58" s="166">
        <f>D$41*(1+$B58)</f>
        <v>3080.0000000000009</v>
      </c>
      <c r="E58" s="160">
        <f t="shared" ref="E58:BA63" si="26">E$41*(1+$B58)</f>
        <v>3297.8000000000011</v>
      </c>
      <c r="F58" s="160">
        <f t="shared" si="26"/>
        <v>3515.6000000000013</v>
      </c>
      <c r="G58" s="160">
        <f t="shared" si="26"/>
        <v>3733.4000000000015</v>
      </c>
      <c r="H58" s="160">
        <f t="shared" si="26"/>
        <v>3951.2000000000007</v>
      </c>
      <c r="I58" s="160">
        <f t="shared" si="26"/>
        <v>4169.0000000000009</v>
      </c>
      <c r="J58" s="160">
        <f t="shared" si="26"/>
        <v>4386.8000000000011</v>
      </c>
      <c r="K58" s="160">
        <f t="shared" si="26"/>
        <v>4604.6000000000013</v>
      </c>
      <c r="L58" s="160">
        <f t="shared" si="26"/>
        <v>4822.4000000000005</v>
      </c>
      <c r="M58" s="160">
        <f t="shared" si="26"/>
        <v>5040.2000000000007</v>
      </c>
      <c r="N58" s="160">
        <f t="shared" si="26"/>
        <v>5258</v>
      </c>
      <c r="O58" s="160">
        <f t="shared" si="26"/>
        <v>5475.8000000000011</v>
      </c>
      <c r="P58" s="160">
        <f t="shared" si="26"/>
        <v>5693.6</v>
      </c>
      <c r="Q58" s="160">
        <f t="shared" si="26"/>
        <v>5911.4000000000015</v>
      </c>
      <c r="R58" s="160">
        <f t="shared" si="26"/>
        <v>6129.2000000000007</v>
      </c>
      <c r="S58" s="160">
        <f t="shared" si="26"/>
        <v>6347.0000000000009</v>
      </c>
      <c r="T58" s="160">
        <f t="shared" si="26"/>
        <v>6564.8</v>
      </c>
      <c r="U58" s="160">
        <f t="shared" si="26"/>
        <v>6782.6</v>
      </c>
      <c r="V58" s="160">
        <f t="shared" si="26"/>
        <v>7000.4000000000015</v>
      </c>
      <c r="W58" s="160">
        <f t="shared" si="26"/>
        <v>7218.2000000000007</v>
      </c>
      <c r="X58" s="160">
        <f t="shared" si="26"/>
        <v>7436.0000000000009</v>
      </c>
      <c r="Y58" s="160">
        <f t="shared" si="26"/>
        <v>7653.800000000002</v>
      </c>
      <c r="Z58" s="160">
        <f t="shared" si="26"/>
        <v>7871.6</v>
      </c>
      <c r="AA58" s="160">
        <f t="shared" si="26"/>
        <v>8089.4000000000015</v>
      </c>
      <c r="AB58" s="160">
        <f t="shared" si="26"/>
        <v>8307.2000000000025</v>
      </c>
      <c r="AC58" s="160">
        <f t="shared" si="26"/>
        <v>8525.0000000000018</v>
      </c>
      <c r="AD58" s="160">
        <f t="shared" si="26"/>
        <v>8742.8000000000029</v>
      </c>
      <c r="AE58" s="160">
        <f t="shared" si="26"/>
        <v>8960.600000000004</v>
      </c>
      <c r="AF58" s="160">
        <f t="shared" si="26"/>
        <v>9178.4000000000051</v>
      </c>
      <c r="AG58" s="160">
        <f t="shared" si="26"/>
        <v>9396.2000000000044</v>
      </c>
      <c r="AH58" s="160">
        <f t="shared" si="26"/>
        <v>9614.0000000000055</v>
      </c>
      <c r="AI58" s="160">
        <f t="shared" si="26"/>
        <v>9831.8000000000047</v>
      </c>
      <c r="AJ58" s="160">
        <f t="shared" si="26"/>
        <v>10049.600000000008</v>
      </c>
      <c r="AK58" s="160">
        <f t="shared" si="26"/>
        <v>10267.400000000007</v>
      </c>
      <c r="AL58" s="160">
        <f t="shared" si="26"/>
        <v>10485.200000000006</v>
      </c>
      <c r="AM58" s="160">
        <f t="shared" si="26"/>
        <v>10703.000000000007</v>
      </c>
      <c r="AN58" s="160">
        <f t="shared" si="26"/>
        <v>10920.800000000008</v>
      </c>
      <c r="AO58" s="160">
        <f t="shared" si="26"/>
        <v>11138.600000000009</v>
      </c>
      <c r="AP58" s="160">
        <f t="shared" si="26"/>
        <v>11356.400000000009</v>
      </c>
      <c r="AQ58" s="160">
        <f t="shared" si="26"/>
        <v>11574.20000000001</v>
      </c>
      <c r="AR58" s="160">
        <f t="shared" si="26"/>
        <v>11792.000000000009</v>
      </c>
      <c r="AS58" s="160">
        <f t="shared" si="26"/>
        <v>12009.80000000001</v>
      </c>
      <c r="AT58" s="160">
        <f t="shared" si="26"/>
        <v>12227.600000000009</v>
      </c>
      <c r="AU58" s="160">
        <f t="shared" si="26"/>
        <v>12445.400000000012</v>
      </c>
      <c r="AV58" s="160">
        <f t="shared" si="26"/>
        <v>12663.200000000012</v>
      </c>
      <c r="AW58" s="160">
        <f t="shared" si="26"/>
        <v>12881.000000000011</v>
      </c>
      <c r="AX58" s="160">
        <f t="shared" si="26"/>
        <v>13098.800000000014</v>
      </c>
      <c r="AY58" s="160">
        <f t="shared" si="26"/>
        <v>13316.600000000013</v>
      </c>
      <c r="AZ58" s="160">
        <f t="shared" si="26"/>
        <v>13534.400000000012</v>
      </c>
      <c r="BA58" s="160">
        <f t="shared" si="26"/>
        <v>13752.200000000013</v>
      </c>
    </row>
    <row r="59" spans="2:53" x14ac:dyDescent="0.2">
      <c r="B59" s="139">
        <f>'매칭-전투력'!T73</f>
        <v>0.12222222222222223</v>
      </c>
      <c r="C59" s="113">
        <v>2</v>
      </c>
      <c r="D59" s="161">
        <f t="shared" ref="D59:S67" si="27">D$41*(1+$B59)</f>
        <v>3142.2222222222226</v>
      </c>
      <c r="E59" s="161">
        <f t="shared" si="27"/>
        <v>3364.4222222222234</v>
      </c>
      <c r="F59" s="161">
        <f t="shared" si="27"/>
        <v>3586.6222222222232</v>
      </c>
      <c r="G59" s="161">
        <f t="shared" si="27"/>
        <v>3808.8222222222234</v>
      </c>
      <c r="H59" s="160">
        <f t="shared" si="27"/>
        <v>4031.0222222222228</v>
      </c>
      <c r="I59" s="160">
        <f t="shared" si="27"/>
        <v>4253.2222222222235</v>
      </c>
      <c r="J59" s="160">
        <f t="shared" si="27"/>
        <v>4475.4222222222234</v>
      </c>
      <c r="K59" s="160">
        <f t="shared" si="27"/>
        <v>4697.6222222222232</v>
      </c>
      <c r="L59" s="160">
        <f t="shared" si="27"/>
        <v>4919.8222222222221</v>
      </c>
      <c r="M59" s="160">
        <f t="shared" si="27"/>
        <v>5142.0222222222219</v>
      </c>
      <c r="N59" s="160">
        <f t="shared" si="27"/>
        <v>5364.2222222222226</v>
      </c>
      <c r="O59" s="160">
        <f t="shared" si="27"/>
        <v>5586.4222222222234</v>
      </c>
      <c r="P59" s="160">
        <f t="shared" si="27"/>
        <v>5808.6222222222223</v>
      </c>
      <c r="Q59" s="160">
        <f t="shared" si="27"/>
        <v>6030.822222222223</v>
      </c>
      <c r="R59" s="160">
        <f t="shared" si="27"/>
        <v>6253.0222222222219</v>
      </c>
      <c r="S59" s="160">
        <f t="shared" si="27"/>
        <v>6475.2222222222226</v>
      </c>
      <c r="T59" s="160">
        <f t="shared" si="26"/>
        <v>6697.4222222222224</v>
      </c>
      <c r="U59" s="160">
        <f t="shared" si="26"/>
        <v>6919.6222222222223</v>
      </c>
      <c r="V59" s="160">
        <f t="shared" si="26"/>
        <v>7141.822222222223</v>
      </c>
      <c r="W59" s="160">
        <f t="shared" si="26"/>
        <v>7364.0222222222219</v>
      </c>
      <c r="X59" s="160">
        <f t="shared" si="26"/>
        <v>7586.2222222222226</v>
      </c>
      <c r="Y59" s="160">
        <f t="shared" si="26"/>
        <v>7808.4222222222234</v>
      </c>
      <c r="Z59" s="160">
        <f t="shared" si="26"/>
        <v>8030.6222222222223</v>
      </c>
      <c r="AA59" s="160">
        <f t="shared" si="26"/>
        <v>8252.822222222223</v>
      </c>
      <c r="AB59" s="160">
        <f t="shared" si="26"/>
        <v>8475.0222222222237</v>
      </c>
      <c r="AC59" s="160">
        <f t="shared" si="26"/>
        <v>8697.2222222222244</v>
      </c>
      <c r="AD59" s="160">
        <f t="shared" si="26"/>
        <v>8919.4222222222252</v>
      </c>
      <c r="AE59" s="160">
        <f t="shared" si="26"/>
        <v>9141.6222222222259</v>
      </c>
      <c r="AF59" s="160">
        <f t="shared" si="26"/>
        <v>9363.8222222222266</v>
      </c>
      <c r="AG59" s="160">
        <f t="shared" si="26"/>
        <v>9586.0222222222255</v>
      </c>
      <c r="AH59" s="160">
        <f t="shared" si="26"/>
        <v>9808.2222222222263</v>
      </c>
      <c r="AI59" s="160">
        <f t="shared" si="26"/>
        <v>10030.422222222227</v>
      </c>
      <c r="AJ59" s="160">
        <f t="shared" si="26"/>
        <v>10252.622222222228</v>
      </c>
      <c r="AK59" s="160">
        <f t="shared" si="26"/>
        <v>10474.822222222228</v>
      </c>
      <c r="AL59" s="160">
        <f t="shared" si="26"/>
        <v>10697.022222222229</v>
      </c>
      <c r="AM59" s="160">
        <f t="shared" si="26"/>
        <v>10919.222222222228</v>
      </c>
      <c r="AN59" s="160">
        <f t="shared" si="26"/>
        <v>11141.422222222231</v>
      </c>
      <c r="AO59" s="160">
        <f t="shared" si="26"/>
        <v>11363.622222222231</v>
      </c>
      <c r="AP59" s="160">
        <f t="shared" si="26"/>
        <v>11585.82222222223</v>
      </c>
      <c r="AQ59" s="160">
        <f t="shared" si="26"/>
        <v>11808.022222222231</v>
      </c>
      <c r="AR59" s="160">
        <f t="shared" si="26"/>
        <v>12030.22222222223</v>
      </c>
      <c r="AS59" s="160">
        <f t="shared" si="26"/>
        <v>12252.422222222232</v>
      </c>
      <c r="AT59" s="160">
        <f t="shared" si="26"/>
        <v>12474.622222222231</v>
      </c>
      <c r="AU59" s="160">
        <f t="shared" si="26"/>
        <v>12696.822222222234</v>
      </c>
      <c r="AV59" s="160">
        <f t="shared" si="26"/>
        <v>12919.022222222233</v>
      </c>
      <c r="AW59" s="160">
        <f t="shared" si="26"/>
        <v>13141.222222222232</v>
      </c>
      <c r="AX59" s="160">
        <f t="shared" si="26"/>
        <v>13363.422222222234</v>
      </c>
      <c r="AY59" s="160">
        <f t="shared" si="26"/>
        <v>13585.622222222235</v>
      </c>
      <c r="AZ59" s="160">
        <f t="shared" si="26"/>
        <v>13807.822222222234</v>
      </c>
      <c r="BA59" s="160">
        <f t="shared" si="26"/>
        <v>14030.022222222235</v>
      </c>
    </row>
    <row r="60" spans="2:53" x14ac:dyDescent="0.2">
      <c r="B60" s="139">
        <f>'매칭-전투력'!T74</f>
        <v>0.14444444444444443</v>
      </c>
      <c r="C60" s="113">
        <v>3</v>
      </c>
      <c r="D60" s="161">
        <f t="shared" si="27"/>
        <v>3204.4444444444448</v>
      </c>
      <c r="E60" s="161">
        <f t="shared" si="26"/>
        <v>3431.0444444444452</v>
      </c>
      <c r="F60" s="161">
        <f t="shared" si="26"/>
        <v>3657.6444444444451</v>
      </c>
      <c r="G60" s="161">
        <f t="shared" si="26"/>
        <v>3884.2444444444454</v>
      </c>
      <c r="H60" s="161">
        <f t="shared" si="26"/>
        <v>4110.8444444444449</v>
      </c>
      <c r="I60" s="161">
        <f t="shared" si="26"/>
        <v>4337.4444444444453</v>
      </c>
      <c r="J60" s="160">
        <f t="shared" si="26"/>
        <v>4564.0444444444456</v>
      </c>
      <c r="K60" s="160">
        <f t="shared" si="26"/>
        <v>4790.6444444444451</v>
      </c>
      <c r="L60" s="160">
        <f t="shared" si="26"/>
        <v>5017.2444444444445</v>
      </c>
      <c r="M60" s="160">
        <f t="shared" si="26"/>
        <v>5243.844444444444</v>
      </c>
      <c r="N60" s="160">
        <f t="shared" si="26"/>
        <v>5470.4444444444443</v>
      </c>
      <c r="O60" s="160">
        <f t="shared" si="26"/>
        <v>5697.0444444444447</v>
      </c>
      <c r="P60" s="160">
        <f t="shared" si="26"/>
        <v>5923.6444444444442</v>
      </c>
      <c r="Q60" s="160">
        <f t="shared" si="26"/>
        <v>6150.2444444444454</v>
      </c>
      <c r="R60" s="160">
        <f t="shared" si="26"/>
        <v>6376.844444444444</v>
      </c>
      <c r="S60" s="160">
        <f t="shared" si="26"/>
        <v>6603.4444444444443</v>
      </c>
      <c r="T60" s="160">
        <f t="shared" si="26"/>
        <v>6830.0444444444438</v>
      </c>
      <c r="U60" s="160">
        <f t="shared" si="26"/>
        <v>7056.6444444444442</v>
      </c>
      <c r="V60" s="160">
        <f t="shared" si="26"/>
        <v>7283.2444444444454</v>
      </c>
      <c r="W60" s="160">
        <f t="shared" si="26"/>
        <v>7509.844444444444</v>
      </c>
      <c r="X60" s="160">
        <f t="shared" si="26"/>
        <v>7736.4444444444443</v>
      </c>
      <c r="Y60" s="160">
        <f t="shared" si="26"/>
        <v>7963.0444444444447</v>
      </c>
      <c r="Z60" s="160">
        <f t="shared" si="26"/>
        <v>8189.6444444444442</v>
      </c>
      <c r="AA60" s="160">
        <f t="shared" si="26"/>
        <v>8416.2444444444445</v>
      </c>
      <c r="AB60" s="160">
        <f t="shared" si="26"/>
        <v>8642.8444444444467</v>
      </c>
      <c r="AC60" s="160">
        <f t="shared" si="26"/>
        <v>8869.4444444444453</v>
      </c>
      <c r="AD60" s="160">
        <f t="shared" si="26"/>
        <v>9096.0444444444456</v>
      </c>
      <c r="AE60" s="160">
        <f t="shared" si="26"/>
        <v>9322.6444444444478</v>
      </c>
      <c r="AF60" s="160">
        <f t="shared" si="26"/>
        <v>9549.2444444444482</v>
      </c>
      <c r="AG60" s="160">
        <f t="shared" si="26"/>
        <v>9775.8444444444485</v>
      </c>
      <c r="AH60" s="160">
        <f t="shared" si="26"/>
        <v>10002.444444444449</v>
      </c>
      <c r="AI60" s="160">
        <f t="shared" si="26"/>
        <v>10229.044444444447</v>
      </c>
      <c r="AJ60" s="160">
        <f t="shared" si="26"/>
        <v>10455.64444444445</v>
      </c>
      <c r="AK60" s="160">
        <f t="shared" si="26"/>
        <v>10682.24444444445</v>
      </c>
      <c r="AL60" s="160">
        <f t="shared" si="26"/>
        <v>10908.84444444445</v>
      </c>
      <c r="AM60" s="160">
        <f t="shared" si="26"/>
        <v>11135.444444444451</v>
      </c>
      <c r="AN60" s="160">
        <f t="shared" si="26"/>
        <v>11362.044444444453</v>
      </c>
      <c r="AO60" s="160">
        <f t="shared" si="26"/>
        <v>11588.644444444451</v>
      </c>
      <c r="AP60" s="160">
        <f t="shared" si="26"/>
        <v>11815.244444444452</v>
      </c>
      <c r="AQ60" s="160">
        <f t="shared" si="26"/>
        <v>12041.844444444452</v>
      </c>
      <c r="AR60" s="160">
        <f t="shared" si="26"/>
        <v>12268.444444444453</v>
      </c>
      <c r="AS60" s="160">
        <f t="shared" si="26"/>
        <v>12495.044444444455</v>
      </c>
      <c r="AT60" s="160">
        <f t="shared" si="26"/>
        <v>12721.644444444451</v>
      </c>
      <c r="AU60" s="160">
        <f t="shared" si="26"/>
        <v>12948.244444444455</v>
      </c>
      <c r="AV60" s="160">
        <f t="shared" si="26"/>
        <v>13174.844444444454</v>
      </c>
      <c r="AW60" s="160">
        <f t="shared" si="26"/>
        <v>13401.444444444454</v>
      </c>
      <c r="AX60" s="160">
        <f t="shared" si="26"/>
        <v>13628.044444444457</v>
      </c>
      <c r="AY60" s="160">
        <f t="shared" si="26"/>
        <v>13854.644444444457</v>
      </c>
      <c r="AZ60" s="160">
        <f t="shared" si="26"/>
        <v>14081.244444444455</v>
      </c>
      <c r="BA60" s="160">
        <f t="shared" si="26"/>
        <v>14307.844444444456</v>
      </c>
    </row>
    <row r="61" spans="2:53" x14ac:dyDescent="0.2">
      <c r="B61" s="139">
        <f>'매칭-전투력'!T75</f>
        <v>0.16666666666666669</v>
      </c>
      <c r="C61" s="113">
        <v>4</v>
      </c>
      <c r="D61" s="161">
        <f t="shared" si="27"/>
        <v>3266.6666666666674</v>
      </c>
      <c r="E61" s="161">
        <f t="shared" si="26"/>
        <v>3497.6666666666679</v>
      </c>
      <c r="F61" s="161">
        <f t="shared" si="26"/>
        <v>3728.6666666666679</v>
      </c>
      <c r="G61" s="161">
        <f t="shared" si="26"/>
        <v>3959.6666666666679</v>
      </c>
      <c r="H61" s="161">
        <f t="shared" si="26"/>
        <v>4190.6666666666679</v>
      </c>
      <c r="I61" s="161">
        <f t="shared" si="26"/>
        <v>4421.6666666666679</v>
      </c>
      <c r="J61" s="161">
        <f t="shared" si="26"/>
        <v>4652.6666666666679</v>
      </c>
      <c r="K61" s="161">
        <f t="shared" si="26"/>
        <v>4883.6666666666679</v>
      </c>
      <c r="L61" s="160">
        <f t="shared" si="26"/>
        <v>5114.666666666667</v>
      </c>
      <c r="M61" s="160">
        <f t="shared" si="26"/>
        <v>5345.666666666667</v>
      </c>
      <c r="N61" s="160">
        <f t="shared" si="26"/>
        <v>5576.666666666667</v>
      </c>
      <c r="O61" s="160">
        <f t="shared" si="26"/>
        <v>5807.6666666666679</v>
      </c>
      <c r="P61" s="160">
        <f t="shared" si="26"/>
        <v>6038.666666666667</v>
      </c>
      <c r="Q61" s="160">
        <f t="shared" si="26"/>
        <v>6269.6666666666679</v>
      </c>
      <c r="R61" s="160">
        <f t="shared" si="26"/>
        <v>6500.666666666667</v>
      </c>
      <c r="S61" s="160">
        <f t="shared" si="26"/>
        <v>6731.666666666667</v>
      </c>
      <c r="T61" s="160">
        <f t="shared" si="26"/>
        <v>6962.666666666667</v>
      </c>
      <c r="U61" s="160">
        <f t="shared" si="26"/>
        <v>7193.666666666667</v>
      </c>
      <c r="V61" s="160">
        <f t="shared" si="26"/>
        <v>7424.6666666666679</v>
      </c>
      <c r="W61" s="160">
        <f t="shared" si="26"/>
        <v>7655.666666666667</v>
      </c>
      <c r="X61" s="160">
        <f t="shared" si="26"/>
        <v>7886.666666666667</v>
      </c>
      <c r="Y61" s="160">
        <f t="shared" si="26"/>
        <v>8117.6666666666679</v>
      </c>
      <c r="Z61" s="160">
        <f t="shared" si="26"/>
        <v>8348.6666666666679</v>
      </c>
      <c r="AA61" s="160">
        <f t="shared" si="26"/>
        <v>8579.6666666666679</v>
      </c>
      <c r="AB61" s="160">
        <f t="shared" si="26"/>
        <v>8810.6666666666697</v>
      </c>
      <c r="AC61" s="160">
        <f t="shared" si="26"/>
        <v>9041.6666666666697</v>
      </c>
      <c r="AD61" s="160">
        <f t="shared" si="26"/>
        <v>9272.6666666666697</v>
      </c>
      <c r="AE61" s="160">
        <f t="shared" si="26"/>
        <v>9503.6666666666697</v>
      </c>
      <c r="AF61" s="160">
        <f t="shared" si="26"/>
        <v>9734.6666666666715</v>
      </c>
      <c r="AG61" s="160">
        <f t="shared" si="26"/>
        <v>9965.6666666666715</v>
      </c>
      <c r="AH61" s="160">
        <f t="shared" si="26"/>
        <v>10196.666666666672</v>
      </c>
      <c r="AI61" s="160">
        <f t="shared" si="26"/>
        <v>10427.666666666672</v>
      </c>
      <c r="AJ61" s="160">
        <f t="shared" si="26"/>
        <v>10658.666666666673</v>
      </c>
      <c r="AK61" s="160">
        <f t="shared" si="26"/>
        <v>10889.666666666673</v>
      </c>
      <c r="AL61" s="160">
        <f t="shared" si="26"/>
        <v>11120.666666666673</v>
      </c>
      <c r="AM61" s="160">
        <f t="shared" si="26"/>
        <v>11351.666666666673</v>
      </c>
      <c r="AN61" s="160">
        <f t="shared" si="26"/>
        <v>11582.666666666675</v>
      </c>
      <c r="AO61" s="160">
        <f t="shared" si="26"/>
        <v>11813.666666666675</v>
      </c>
      <c r="AP61" s="160">
        <f t="shared" si="26"/>
        <v>12044.666666666675</v>
      </c>
      <c r="AQ61" s="160">
        <f t="shared" si="26"/>
        <v>12275.666666666675</v>
      </c>
      <c r="AR61" s="160">
        <f t="shared" si="26"/>
        <v>12506.666666666675</v>
      </c>
      <c r="AS61" s="160">
        <f t="shared" si="26"/>
        <v>12737.666666666679</v>
      </c>
      <c r="AT61" s="160">
        <f t="shared" si="26"/>
        <v>12968.666666666675</v>
      </c>
      <c r="AU61" s="160">
        <f t="shared" si="26"/>
        <v>13199.666666666681</v>
      </c>
      <c r="AV61" s="160">
        <f t="shared" si="26"/>
        <v>13430.666666666679</v>
      </c>
      <c r="AW61" s="160">
        <f t="shared" si="26"/>
        <v>13661.666666666679</v>
      </c>
      <c r="AX61" s="160">
        <f t="shared" si="26"/>
        <v>13892.666666666681</v>
      </c>
      <c r="AY61" s="160">
        <f t="shared" si="26"/>
        <v>14123.666666666681</v>
      </c>
      <c r="AZ61" s="160">
        <f t="shared" si="26"/>
        <v>14354.666666666681</v>
      </c>
      <c r="BA61" s="160">
        <f t="shared" si="26"/>
        <v>14585.666666666681</v>
      </c>
    </row>
    <row r="62" spans="2:53" x14ac:dyDescent="0.2">
      <c r="B62" s="139">
        <f>'매칭-전투력'!T76</f>
        <v>0.18888888888888888</v>
      </c>
      <c r="C62" s="113">
        <v>5</v>
      </c>
      <c r="D62" s="161">
        <f t="shared" si="27"/>
        <v>3328.8888888888896</v>
      </c>
      <c r="E62" s="161">
        <f t="shared" si="26"/>
        <v>3564.2888888888901</v>
      </c>
      <c r="F62" s="161">
        <f t="shared" si="26"/>
        <v>3799.6888888888898</v>
      </c>
      <c r="G62" s="161">
        <f t="shared" si="26"/>
        <v>4035.0888888888899</v>
      </c>
      <c r="H62" s="161">
        <f t="shared" si="26"/>
        <v>4270.4888888888891</v>
      </c>
      <c r="I62" s="161">
        <f t="shared" si="26"/>
        <v>4505.8888888888896</v>
      </c>
      <c r="J62" s="161">
        <f t="shared" si="26"/>
        <v>4741.2888888888901</v>
      </c>
      <c r="K62" s="161">
        <f t="shared" si="26"/>
        <v>4976.6888888888898</v>
      </c>
      <c r="L62" s="161">
        <f t="shared" si="26"/>
        <v>5212.0888888888885</v>
      </c>
      <c r="M62" s="161">
        <f t="shared" si="26"/>
        <v>5447.4888888888891</v>
      </c>
      <c r="N62" s="161">
        <f t="shared" si="26"/>
        <v>5682.8888888888887</v>
      </c>
      <c r="O62" s="160">
        <f t="shared" si="26"/>
        <v>5918.2888888888901</v>
      </c>
      <c r="P62" s="160">
        <f t="shared" si="26"/>
        <v>6153.6888888888889</v>
      </c>
      <c r="Q62" s="160">
        <f t="shared" si="26"/>
        <v>6389.0888888888903</v>
      </c>
      <c r="R62" s="160">
        <f t="shared" si="26"/>
        <v>6624.4888888888891</v>
      </c>
      <c r="S62" s="160">
        <f t="shared" si="26"/>
        <v>6859.8888888888887</v>
      </c>
      <c r="T62" s="160">
        <f t="shared" si="26"/>
        <v>7095.2888888888892</v>
      </c>
      <c r="U62" s="160">
        <f t="shared" si="26"/>
        <v>7330.6888888888889</v>
      </c>
      <c r="V62" s="160">
        <f t="shared" si="26"/>
        <v>7566.0888888888903</v>
      </c>
      <c r="W62" s="160">
        <f t="shared" si="26"/>
        <v>7801.4888888888891</v>
      </c>
      <c r="X62" s="160">
        <f t="shared" si="26"/>
        <v>8036.8888888888887</v>
      </c>
      <c r="Y62" s="160">
        <f t="shared" si="26"/>
        <v>8272.2888888888901</v>
      </c>
      <c r="Z62" s="160">
        <f t="shared" si="26"/>
        <v>8507.688888888888</v>
      </c>
      <c r="AA62" s="160">
        <f t="shared" si="26"/>
        <v>8743.0888888888894</v>
      </c>
      <c r="AB62" s="160">
        <f t="shared" si="26"/>
        <v>8978.4888888888909</v>
      </c>
      <c r="AC62" s="160">
        <f t="shared" si="26"/>
        <v>9213.8888888888905</v>
      </c>
      <c r="AD62" s="160">
        <f t="shared" si="26"/>
        <v>9449.2888888888901</v>
      </c>
      <c r="AE62" s="160">
        <f t="shared" si="26"/>
        <v>9684.6888888888916</v>
      </c>
      <c r="AF62" s="160">
        <f t="shared" si="26"/>
        <v>9920.0888888888931</v>
      </c>
      <c r="AG62" s="160">
        <f t="shared" si="26"/>
        <v>10155.488888888893</v>
      </c>
      <c r="AH62" s="160">
        <f t="shared" si="26"/>
        <v>10390.888888888892</v>
      </c>
      <c r="AI62" s="160">
        <f t="shared" si="26"/>
        <v>10626.288888888894</v>
      </c>
      <c r="AJ62" s="160">
        <f t="shared" si="26"/>
        <v>10861.688888888895</v>
      </c>
      <c r="AK62" s="160">
        <f t="shared" si="26"/>
        <v>11097.088888888895</v>
      </c>
      <c r="AL62" s="160">
        <f t="shared" si="26"/>
        <v>11332.488888888895</v>
      </c>
      <c r="AM62" s="160">
        <f t="shared" si="26"/>
        <v>11567.888888888896</v>
      </c>
      <c r="AN62" s="160">
        <f t="shared" si="26"/>
        <v>11803.288888888897</v>
      </c>
      <c r="AO62" s="160">
        <f t="shared" si="26"/>
        <v>12038.688888888897</v>
      </c>
      <c r="AP62" s="160">
        <f t="shared" si="26"/>
        <v>12274.088888888897</v>
      </c>
      <c r="AQ62" s="160">
        <f t="shared" si="26"/>
        <v>12509.488888888898</v>
      </c>
      <c r="AR62" s="160">
        <f t="shared" si="26"/>
        <v>12744.888888888898</v>
      </c>
      <c r="AS62" s="160">
        <f t="shared" si="26"/>
        <v>12980.288888888899</v>
      </c>
      <c r="AT62" s="160">
        <f t="shared" si="26"/>
        <v>13215.688888888897</v>
      </c>
      <c r="AU62" s="160">
        <f t="shared" si="26"/>
        <v>13451.088888888902</v>
      </c>
      <c r="AV62" s="160">
        <f t="shared" si="26"/>
        <v>13686.4888888889</v>
      </c>
      <c r="AW62" s="160">
        <f t="shared" si="26"/>
        <v>13921.8888888889</v>
      </c>
      <c r="AX62" s="160">
        <f t="shared" si="26"/>
        <v>14157.288888888901</v>
      </c>
      <c r="AY62" s="160">
        <f t="shared" si="26"/>
        <v>14392.688888888903</v>
      </c>
      <c r="AZ62" s="160">
        <f t="shared" si="26"/>
        <v>14628.088888888902</v>
      </c>
      <c r="BA62" s="160">
        <f t="shared" si="26"/>
        <v>14863.488888888902</v>
      </c>
    </row>
    <row r="63" spans="2:53" x14ac:dyDescent="0.2">
      <c r="B63" s="139">
        <f>'매칭-전투력'!T77</f>
        <v>0.21111111111111111</v>
      </c>
      <c r="C63" s="113">
        <v>6</v>
      </c>
      <c r="D63" s="161">
        <f t="shared" si="27"/>
        <v>3391.1111111111113</v>
      </c>
      <c r="E63" s="161">
        <f t="shared" si="26"/>
        <v>3630.9111111111119</v>
      </c>
      <c r="F63" s="161">
        <f t="shared" si="26"/>
        <v>3870.7111111111121</v>
      </c>
      <c r="G63" s="161">
        <f t="shared" si="26"/>
        <v>4110.5111111111119</v>
      </c>
      <c r="H63" s="161">
        <f t="shared" si="26"/>
        <v>4350.3111111111111</v>
      </c>
      <c r="I63" s="161">
        <f t="shared" si="26"/>
        <v>4590.1111111111122</v>
      </c>
      <c r="J63" s="161">
        <f t="shared" si="26"/>
        <v>4829.9111111111115</v>
      </c>
      <c r="K63" s="161">
        <f t="shared" si="26"/>
        <v>5069.7111111111117</v>
      </c>
      <c r="L63" s="161">
        <f t="shared" si="26"/>
        <v>5309.5111111111109</v>
      </c>
      <c r="M63" s="161">
        <f t="shared" si="26"/>
        <v>5549.3111111111111</v>
      </c>
      <c r="N63" s="161">
        <f t="shared" si="26"/>
        <v>5789.1111111111104</v>
      </c>
      <c r="O63" s="161">
        <f t="shared" si="26"/>
        <v>6028.9111111111115</v>
      </c>
      <c r="P63" s="161">
        <f t="shared" si="26"/>
        <v>6268.7111111111108</v>
      </c>
      <c r="Q63" s="161">
        <f t="shared" si="26"/>
        <v>6508.5111111111119</v>
      </c>
      <c r="R63" s="160">
        <f t="shared" si="26"/>
        <v>6748.3111111111102</v>
      </c>
      <c r="S63" s="160">
        <f t="shared" si="26"/>
        <v>6988.1111111111104</v>
      </c>
      <c r="T63" s="160">
        <f t="shared" si="26"/>
        <v>7227.9111111111106</v>
      </c>
      <c r="U63" s="160">
        <f t="shared" si="26"/>
        <v>7467.7111111111108</v>
      </c>
      <c r="V63" s="160">
        <f t="shared" si="26"/>
        <v>7707.5111111111119</v>
      </c>
      <c r="W63" s="160">
        <f t="shared" si="26"/>
        <v>7947.3111111111102</v>
      </c>
      <c r="X63" s="160">
        <f t="shared" si="26"/>
        <v>8187.1111111111104</v>
      </c>
      <c r="Y63" s="160">
        <f t="shared" si="26"/>
        <v>8426.9111111111124</v>
      </c>
      <c r="Z63" s="160">
        <f t="shared" si="26"/>
        <v>8666.7111111111099</v>
      </c>
      <c r="AA63" s="160">
        <f t="shared" si="26"/>
        <v>8906.5111111111109</v>
      </c>
      <c r="AB63" s="160">
        <f t="shared" si="26"/>
        <v>9146.311111111112</v>
      </c>
      <c r="AC63" s="160">
        <f t="shared" si="26"/>
        <v>9386.1111111111131</v>
      </c>
      <c r="AD63" s="160">
        <f t="shared" ref="E63:BA67" si="28">AD$41*(1+$B63)</f>
        <v>9625.9111111111124</v>
      </c>
      <c r="AE63" s="160">
        <f t="shared" si="28"/>
        <v>9865.7111111111135</v>
      </c>
      <c r="AF63" s="160">
        <f t="shared" si="28"/>
        <v>10105.511111111115</v>
      </c>
      <c r="AG63" s="160">
        <f t="shared" si="28"/>
        <v>10345.311111111116</v>
      </c>
      <c r="AH63" s="160">
        <f t="shared" si="28"/>
        <v>10585.111111111115</v>
      </c>
      <c r="AI63" s="160">
        <f t="shared" si="28"/>
        <v>10824.911111111114</v>
      </c>
      <c r="AJ63" s="160">
        <f t="shared" si="28"/>
        <v>11064.711111111117</v>
      </c>
      <c r="AK63" s="160">
        <f t="shared" si="28"/>
        <v>11304.511111111116</v>
      </c>
      <c r="AL63" s="160">
        <f t="shared" si="28"/>
        <v>11544.311111111117</v>
      </c>
      <c r="AM63" s="160">
        <f t="shared" si="28"/>
        <v>11784.111111111117</v>
      </c>
      <c r="AN63" s="160">
        <f t="shared" si="28"/>
        <v>12023.91111111112</v>
      </c>
      <c r="AO63" s="160">
        <f t="shared" si="28"/>
        <v>12263.711111111119</v>
      </c>
      <c r="AP63" s="160">
        <f t="shared" si="28"/>
        <v>12503.511111111118</v>
      </c>
      <c r="AQ63" s="160">
        <f t="shared" si="28"/>
        <v>12743.311111111119</v>
      </c>
      <c r="AR63" s="160">
        <f t="shared" si="28"/>
        <v>12983.111111111119</v>
      </c>
      <c r="AS63" s="160">
        <f t="shared" si="28"/>
        <v>13222.911111111121</v>
      </c>
      <c r="AT63" s="160">
        <f t="shared" si="28"/>
        <v>13462.711111111119</v>
      </c>
      <c r="AU63" s="160">
        <f t="shared" si="28"/>
        <v>13702.511111111124</v>
      </c>
      <c r="AV63" s="160">
        <f t="shared" si="28"/>
        <v>13942.311111111121</v>
      </c>
      <c r="AW63" s="160">
        <f t="shared" si="28"/>
        <v>14182.11111111112</v>
      </c>
      <c r="AX63" s="160">
        <f t="shared" si="28"/>
        <v>14421.911111111123</v>
      </c>
      <c r="AY63" s="160">
        <f t="shared" si="28"/>
        <v>14661.711111111123</v>
      </c>
      <c r="AZ63" s="160">
        <f t="shared" si="28"/>
        <v>14901.511111111124</v>
      </c>
      <c r="BA63" s="160">
        <f t="shared" si="28"/>
        <v>15141.311111111123</v>
      </c>
    </row>
    <row r="64" spans="2:53" x14ac:dyDescent="0.2">
      <c r="B64" s="139">
        <f>'매칭-전투력'!T78</f>
        <v>0.23333333333333334</v>
      </c>
      <c r="C64" s="113">
        <v>7</v>
      </c>
      <c r="D64" s="161">
        <f t="shared" si="27"/>
        <v>3453.3333333333339</v>
      </c>
      <c r="E64" s="161">
        <f t="shared" si="28"/>
        <v>3697.5333333333347</v>
      </c>
      <c r="F64" s="161">
        <f t="shared" si="28"/>
        <v>3941.7333333333345</v>
      </c>
      <c r="G64" s="161">
        <f t="shared" si="28"/>
        <v>4185.9333333333343</v>
      </c>
      <c r="H64" s="161">
        <f t="shared" si="28"/>
        <v>4430.1333333333341</v>
      </c>
      <c r="I64" s="161">
        <f t="shared" si="28"/>
        <v>4674.3333333333348</v>
      </c>
      <c r="J64" s="161">
        <f t="shared" si="28"/>
        <v>4918.5333333333347</v>
      </c>
      <c r="K64" s="161">
        <f t="shared" si="28"/>
        <v>5162.7333333333345</v>
      </c>
      <c r="L64" s="161">
        <f t="shared" si="28"/>
        <v>5406.9333333333334</v>
      </c>
      <c r="M64" s="161">
        <f t="shared" si="28"/>
        <v>5651.1333333333332</v>
      </c>
      <c r="N64" s="161">
        <f t="shared" si="28"/>
        <v>5895.3333333333339</v>
      </c>
      <c r="O64" s="161">
        <f t="shared" si="28"/>
        <v>6139.5333333333347</v>
      </c>
      <c r="P64" s="161">
        <f t="shared" si="28"/>
        <v>6383.7333333333336</v>
      </c>
      <c r="Q64" s="161">
        <f t="shared" si="28"/>
        <v>6627.9333333333352</v>
      </c>
      <c r="R64" s="161">
        <f t="shared" si="28"/>
        <v>6872.1333333333332</v>
      </c>
      <c r="S64" s="161">
        <f t="shared" si="28"/>
        <v>7116.3333333333339</v>
      </c>
      <c r="T64" s="161">
        <f t="shared" si="28"/>
        <v>7360.5333333333338</v>
      </c>
      <c r="U64" s="160">
        <f t="shared" si="28"/>
        <v>7604.7333333333336</v>
      </c>
      <c r="V64" s="160">
        <f t="shared" si="28"/>
        <v>7848.9333333333352</v>
      </c>
      <c r="W64" s="160">
        <f t="shared" si="28"/>
        <v>8093.1333333333341</v>
      </c>
      <c r="X64" s="160">
        <f t="shared" si="28"/>
        <v>8337.3333333333339</v>
      </c>
      <c r="Y64" s="160">
        <f t="shared" si="28"/>
        <v>8581.5333333333347</v>
      </c>
      <c r="Z64" s="160">
        <f t="shared" si="28"/>
        <v>8825.7333333333336</v>
      </c>
      <c r="AA64" s="160">
        <f t="shared" si="28"/>
        <v>9069.9333333333343</v>
      </c>
      <c r="AB64" s="160">
        <f t="shared" si="28"/>
        <v>9314.1333333333369</v>
      </c>
      <c r="AC64" s="160">
        <f t="shared" si="28"/>
        <v>9558.3333333333358</v>
      </c>
      <c r="AD64" s="160">
        <f t="shared" si="28"/>
        <v>9802.5333333333365</v>
      </c>
      <c r="AE64" s="160">
        <f t="shared" si="28"/>
        <v>10046.733333333337</v>
      </c>
      <c r="AF64" s="160">
        <f t="shared" si="28"/>
        <v>10290.933333333338</v>
      </c>
      <c r="AG64" s="160">
        <f t="shared" si="28"/>
        <v>10535.133333333339</v>
      </c>
      <c r="AH64" s="160">
        <f t="shared" si="28"/>
        <v>10779.333333333338</v>
      </c>
      <c r="AI64" s="160">
        <f t="shared" si="28"/>
        <v>11023.533333333338</v>
      </c>
      <c r="AJ64" s="160">
        <f t="shared" si="28"/>
        <v>11267.733333333341</v>
      </c>
      <c r="AK64" s="160">
        <f t="shared" si="28"/>
        <v>11511.93333333334</v>
      </c>
      <c r="AL64" s="160">
        <f t="shared" si="28"/>
        <v>11756.13333333334</v>
      </c>
      <c r="AM64" s="160">
        <f t="shared" si="28"/>
        <v>12000.333333333341</v>
      </c>
      <c r="AN64" s="160">
        <f t="shared" si="28"/>
        <v>12244.533333333344</v>
      </c>
      <c r="AO64" s="160">
        <f t="shared" si="28"/>
        <v>12488.733333333343</v>
      </c>
      <c r="AP64" s="160">
        <f t="shared" si="28"/>
        <v>12732.933333333343</v>
      </c>
      <c r="AQ64" s="160">
        <f t="shared" si="28"/>
        <v>12977.133333333342</v>
      </c>
      <c r="AR64" s="160">
        <f t="shared" si="28"/>
        <v>13221.333333333343</v>
      </c>
      <c r="AS64" s="160">
        <f t="shared" si="28"/>
        <v>13465.533333333346</v>
      </c>
      <c r="AT64" s="160">
        <f t="shared" si="28"/>
        <v>13709.733333333343</v>
      </c>
      <c r="AU64" s="160">
        <f t="shared" si="28"/>
        <v>13953.933333333347</v>
      </c>
      <c r="AV64" s="160">
        <f t="shared" si="28"/>
        <v>14198.133333333346</v>
      </c>
      <c r="AW64" s="160">
        <f t="shared" si="28"/>
        <v>14442.333333333345</v>
      </c>
      <c r="AX64" s="160">
        <f t="shared" si="28"/>
        <v>14686.533333333347</v>
      </c>
      <c r="AY64" s="160">
        <f t="shared" si="28"/>
        <v>14930.733333333348</v>
      </c>
      <c r="AZ64" s="160">
        <f t="shared" si="28"/>
        <v>15174.933333333347</v>
      </c>
      <c r="BA64" s="160">
        <f t="shared" si="28"/>
        <v>15419.133333333348</v>
      </c>
    </row>
    <row r="65" spans="2:53" x14ac:dyDescent="0.2">
      <c r="B65" s="139">
        <f>'매칭-전투력'!T79</f>
        <v>0.25555555555555554</v>
      </c>
      <c r="C65" s="113">
        <v>8</v>
      </c>
      <c r="D65" s="161">
        <f t="shared" si="27"/>
        <v>3515.5555555555561</v>
      </c>
      <c r="E65" s="161">
        <f t="shared" si="28"/>
        <v>3764.1555555555565</v>
      </c>
      <c r="F65" s="161">
        <f t="shared" si="28"/>
        <v>4012.7555555555568</v>
      </c>
      <c r="G65" s="161">
        <f t="shared" si="28"/>
        <v>4261.3555555555567</v>
      </c>
      <c r="H65" s="161">
        <f t="shared" si="28"/>
        <v>4509.9555555555562</v>
      </c>
      <c r="I65" s="161">
        <f t="shared" si="28"/>
        <v>4758.5555555555566</v>
      </c>
      <c r="J65" s="161">
        <f t="shared" si="28"/>
        <v>5007.1555555555569</v>
      </c>
      <c r="K65" s="161">
        <f t="shared" si="28"/>
        <v>5255.7555555555564</v>
      </c>
      <c r="L65" s="161">
        <f t="shared" si="28"/>
        <v>5504.3555555555558</v>
      </c>
      <c r="M65" s="161">
        <f t="shared" si="28"/>
        <v>5752.9555555555553</v>
      </c>
      <c r="N65" s="161">
        <f t="shared" si="28"/>
        <v>6001.5555555555557</v>
      </c>
      <c r="O65" s="161">
        <f t="shared" si="28"/>
        <v>6250.1555555555569</v>
      </c>
      <c r="P65" s="161">
        <f t="shared" si="28"/>
        <v>6498.7555555555555</v>
      </c>
      <c r="Q65" s="161">
        <f t="shared" si="28"/>
        <v>6747.3555555555567</v>
      </c>
      <c r="R65" s="161">
        <f t="shared" si="28"/>
        <v>6995.9555555555553</v>
      </c>
      <c r="S65" s="161">
        <f t="shared" si="28"/>
        <v>7244.5555555555557</v>
      </c>
      <c r="T65" s="161">
        <f t="shared" si="28"/>
        <v>7493.1555555555551</v>
      </c>
      <c r="U65" s="161">
        <f t="shared" si="28"/>
        <v>7741.7555555555555</v>
      </c>
      <c r="V65" s="161">
        <f t="shared" si="28"/>
        <v>7990.3555555555567</v>
      </c>
      <c r="W65" s="161">
        <f t="shared" si="28"/>
        <v>8238.9555555555562</v>
      </c>
      <c r="X65" s="160">
        <f t="shared" si="28"/>
        <v>8487.5555555555547</v>
      </c>
      <c r="Y65" s="160">
        <f t="shared" si="28"/>
        <v>8736.1555555555569</v>
      </c>
      <c r="Z65" s="160">
        <f t="shared" si="28"/>
        <v>8984.7555555555555</v>
      </c>
      <c r="AA65" s="160">
        <f t="shared" si="28"/>
        <v>9233.3555555555558</v>
      </c>
      <c r="AB65" s="160">
        <f t="shared" si="28"/>
        <v>9481.955555555558</v>
      </c>
      <c r="AC65" s="160">
        <f t="shared" si="28"/>
        <v>9730.5555555555584</v>
      </c>
      <c r="AD65" s="160">
        <f t="shared" si="28"/>
        <v>9979.1555555555569</v>
      </c>
      <c r="AE65" s="160">
        <f t="shared" si="28"/>
        <v>10227.755555555559</v>
      </c>
      <c r="AF65" s="160">
        <f t="shared" si="28"/>
        <v>10476.355555555559</v>
      </c>
      <c r="AG65" s="160">
        <f t="shared" si="28"/>
        <v>10724.95555555556</v>
      </c>
      <c r="AH65" s="160">
        <f t="shared" si="28"/>
        <v>10973.55555555556</v>
      </c>
      <c r="AI65" s="160">
        <f t="shared" si="28"/>
        <v>11222.155555555561</v>
      </c>
      <c r="AJ65" s="160">
        <f t="shared" si="28"/>
        <v>11470.755555555563</v>
      </c>
      <c r="AK65" s="160">
        <f t="shared" si="28"/>
        <v>11719.355555555563</v>
      </c>
      <c r="AL65" s="160">
        <f t="shared" si="28"/>
        <v>11967.955555555562</v>
      </c>
      <c r="AM65" s="160">
        <f t="shared" si="28"/>
        <v>12216.555555555562</v>
      </c>
      <c r="AN65" s="160">
        <f t="shared" si="28"/>
        <v>12465.155555555564</v>
      </c>
      <c r="AO65" s="160">
        <f t="shared" si="28"/>
        <v>12713.755555555565</v>
      </c>
      <c r="AP65" s="160">
        <f t="shared" si="28"/>
        <v>12962.355555555565</v>
      </c>
      <c r="AQ65" s="160">
        <f t="shared" si="28"/>
        <v>13210.955555555565</v>
      </c>
      <c r="AR65" s="160">
        <f t="shared" si="28"/>
        <v>13459.555555555564</v>
      </c>
      <c r="AS65" s="160">
        <f t="shared" si="28"/>
        <v>13708.155555555566</v>
      </c>
      <c r="AT65" s="160">
        <f t="shared" si="28"/>
        <v>13956.755555555565</v>
      </c>
      <c r="AU65" s="160">
        <f t="shared" si="28"/>
        <v>14205.355555555569</v>
      </c>
      <c r="AV65" s="160">
        <f t="shared" si="28"/>
        <v>14453.955555555567</v>
      </c>
      <c r="AW65" s="160">
        <f t="shared" si="28"/>
        <v>14702.555555555567</v>
      </c>
      <c r="AX65" s="160">
        <f t="shared" si="28"/>
        <v>14951.15555555557</v>
      </c>
      <c r="AY65" s="160">
        <f t="shared" si="28"/>
        <v>15199.755555555568</v>
      </c>
      <c r="AZ65" s="160">
        <f t="shared" si="28"/>
        <v>15448.355555555569</v>
      </c>
      <c r="BA65" s="160">
        <f t="shared" si="28"/>
        <v>15696.955555555569</v>
      </c>
    </row>
    <row r="66" spans="2:53" x14ac:dyDescent="0.2">
      <c r="B66" s="139">
        <f>'매칭-전투력'!T80</f>
        <v>0.27777777777777779</v>
      </c>
      <c r="C66" s="113">
        <v>9</v>
      </c>
      <c r="D66" s="161">
        <f t="shared" si="27"/>
        <v>3577.7777777777783</v>
      </c>
      <c r="E66" s="161">
        <f t="shared" si="28"/>
        <v>3830.7777777777787</v>
      </c>
      <c r="F66" s="161">
        <f t="shared" si="28"/>
        <v>4083.7777777777787</v>
      </c>
      <c r="G66" s="161">
        <f t="shared" si="28"/>
        <v>4336.7777777777783</v>
      </c>
      <c r="H66" s="161">
        <f t="shared" si="28"/>
        <v>4589.7777777777783</v>
      </c>
      <c r="I66" s="161">
        <f t="shared" si="28"/>
        <v>4842.7777777777783</v>
      </c>
      <c r="J66" s="161">
        <f t="shared" si="28"/>
        <v>5095.7777777777783</v>
      </c>
      <c r="K66" s="161">
        <f t="shared" si="28"/>
        <v>5348.7777777777783</v>
      </c>
      <c r="L66" s="161">
        <f t="shared" si="28"/>
        <v>5601.7777777777774</v>
      </c>
      <c r="M66" s="161">
        <f t="shared" si="28"/>
        <v>5854.7777777777774</v>
      </c>
      <c r="N66" s="161">
        <f t="shared" si="28"/>
        <v>6107.7777777777774</v>
      </c>
      <c r="O66" s="161">
        <f t="shared" si="28"/>
        <v>6360.7777777777783</v>
      </c>
      <c r="P66" s="161">
        <f t="shared" si="28"/>
        <v>6613.7777777777774</v>
      </c>
      <c r="Q66" s="161">
        <f t="shared" si="28"/>
        <v>6866.7777777777783</v>
      </c>
      <c r="R66" s="161">
        <f t="shared" si="28"/>
        <v>7119.7777777777774</v>
      </c>
      <c r="S66" s="161">
        <f t="shared" si="28"/>
        <v>7372.7777777777774</v>
      </c>
      <c r="T66" s="161">
        <f t="shared" si="28"/>
        <v>7625.7777777777774</v>
      </c>
      <c r="U66" s="161">
        <f t="shared" si="28"/>
        <v>7878.7777777777774</v>
      </c>
      <c r="V66" s="161">
        <f t="shared" si="28"/>
        <v>8131.7777777777783</v>
      </c>
      <c r="W66" s="161">
        <f t="shared" si="28"/>
        <v>8384.7777777777774</v>
      </c>
      <c r="X66" s="161">
        <f t="shared" si="28"/>
        <v>8637.7777777777774</v>
      </c>
      <c r="Y66" s="161">
        <f t="shared" si="28"/>
        <v>8890.7777777777774</v>
      </c>
      <c r="Z66" s="161">
        <f t="shared" si="28"/>
        <v>9143.7777777777774</v>
      </c>
      <c r="AA66" s="161">
        <f t="shared" si="28"/>
        <v>9396.7777777777774</v>
      </c>
      <c r="AB66" s="160">
        <f t="shared" si="28"/>
        <v>9649.7777777777792</v>
      </c>
      <c r="AC66" s="160">
        <f t="shared" si="28"/>
        <v>9902.7777777777792</v>
      </c>
      <c r="AD66" s="160">
        <f t="shared" si="28"/>
        <v>10155.777777777779</v>
      </c>
      <c r="AE66" s="160">
        <f t="shared" si="28"/>
        <v>10408.777777777781</v>
      </c>
      <c r="AF66" s="160">
        <f t="shared" si="28"/>
        <v>10661.777777777781</v>
      </c>
      <c r="AG66" s="160">
        <f t="shared" si="28"/>
        <v>10914.777777777781</v>
      </c>
      <c r="AH66" s="160">
        <f t="shared" si="28"/>
        <v>11167.777777777781</v>
      </c>
      <c r="AI66" s="160">
        <f t="shared" si="28"/>
        <v>11420.777777777781</v>
      </c>
      <c r="AJ66" s="160">
        <f t="shared" si="28"/>
        <v>11673.777777777785</v>
      </c>
      <c r="AK66" s="160">
        <f t="shared" si="28"/>
        <v>11926.777777777785</v>
      </c>
      <c r="AL66" s="160">
        <f t="shared" si="28"/>
        <v>12179.777777777785</v>
      </c>
      <c r="AM66" s="160">
        <f t="shared" si="28"/>
        <v>12432.777777777785</v>
      </c>
      <c r="AN66" s="160">
        <f t="shared" si="28"/>
        <v>12685.777777777786</v>
      </c>
      <c r="AO66" s="160">
        <f t="shared" si="28"/>
        <v>12938.777777777786</v>
      </c>
      <c r="AP66" s="160">
        <f t="shared" si="28"/>
        <v>13191.777777777786</v>
      </c>
      <c r="AQ66" s="160">
        <f t="shared" si="28"/>
        <v>13444.777777777786</v>
      </c>
      <c r="AR66" s="160">
        <f t="shared" si="28"/>
        <v>13697.777777777786</v>
      </c>
      <c r="AS66" s="160">
        <f t="shared" si="28"/>
        <v>13950.777777777788</v>
      </c>
      <c r="AT66" s="160">
        <f t="shared" si="28"/>
        <v>14203.777777777786</v>
      </c>
      <c r="AU66" s="160">
        <f t="shared" si="28"/>
        <v>14456.77777777779</v>
      </c>
      <c r="AV66" s="160">
        <f t="shared" si="28"/>
        <v>14709.777777777788</v>
      </c>
      <c r="AW66" s="160">
        <f t="shared" si="28"/>
        <v>14962.777777777788</v>
      </c>
      <c r="AX66" s="160">
        <f t="shared" si="28"/>
        <v>15215.77777777779</v>
      </c>
      <c r="AY66" s="160">
        <f t="shared" si="28"/>
        <v>15468.77777777779</v>
      </c>
      <c r="AZ66" s="160">
        <f t="shared" si="28"/>
        <v>15721.77777777779</v>
      </c>
      <c r="BA66" s="160">
        <f t="shared" si="28"/>
        <v>15974.77777777779</v>
      </c>
    </row>
    <row r="67" spans="2:53" x14ac:dyDescent="0.2">
      <c r="B67" s="139">
        <f>'매칭-전투력'!T81</f>
        <v>0.30000000000000004</v>
      </c>
      <c r="C67" s="113">
        <v>10</v>
      </c>
      <c r="D67" s="161">
        <f t="shared" si="27"/>
        <v>3640.0000000000009</v>
      </c>
      <c r="E67" s="161">
        <f t="shared" si="28"/>
        <v>3897.4000000000015</v>
      </c>
      <c r="F67" s="161">
        <f t="shared" si="28"/>
        <v>4154.8000000000011</v>
      </c>
      <c r="G67" s="161">
        <f t="shared" si="28"/>
        <v>4412.2000000000016</v>
      </c>
      <c r="H67" s="161">
        <f t="shared" si="28"/>
        <v>4669.6000000000004</v>
      </c>
      <c r="I67" s="161">
        <f t="shared" si="28"/>
        <v>4927.0000000000009</v>
      </c>
      <c r="J67" s="161">
        <f t="shared" si="28"/>
        <v>5184.4000000000015</v>
      </c>
      <c r="K67" s="161">
        <f t="shared" si="28"/>
        <v>5441.8000000000011</v>
      </c>
      <c r="L67" s="161">
        <f t="shared" si="28"/>
        <v>5699.2</v>
      </c>
      <c r="M67" s="161">
        <f t="shared" si="28"/>
        <v>5956.6</v>
      </c>
      <c r="N67" s="161">
        <f t="shared" si="28"/>
        <v>6214</v>
      </c>
      <c r="O67" s="161">
        <f t="shared" si="28"/>
        <v>6471.4000000000015</v>
      </c>
      <c r="P67" s="161">
        <f t="shared" si="28"/>
        <v>6728.8</v>
      </c>
      <c r="Q67" s="161">
        <f t="shared" si="28"/>
        <v>6986.2000000000016</v>
      </c>
      <c r="R67" s="161">
        <f t="shared" si="28"/>
        <v>7243.6</v>
      </c>
      <c r="S67" s="161">
        <f t="shared" si="28"/>
        <v>7501</v>
      </c>
      <c r="T67" s="161">
        <f t="shared" si="28"/>
        <v>7758.4000000000005</v>
      </c>
      <c r="U67" s="161">
        <f t="shared" si="28"/>
        <v>8015.8</v>
      </c>
      <c r="V67" s="161">
        <f t="shared" si="28"/>
        <v>8273.2000000000007</v>
      </c>
      <c r="W67" s="161">
        <f t="shared" si="28"/>
        <v>8530.6</v>
      </c>
      <c r="X67" s="161">
        <f t="shared" si="28"/>
        <v>8788</v>
      </c>
      <c r="Y67" s="161">
        <f t="shared" si="28"/>
        <v>9045.4000000000015</v>
      </c>
      <c r="Z67" s="161">
        <f t="shared" si="28"/>
        <v>9302.8000000000011</v>
      </c>
      <c r="AA67" s="161">
        <f t="shared" si="28"/>
        <v>9560.2000000000007</v>
      </c>
      <c r="AB67" s="161">
        <f t="shared" si="28"/>
        <v>9817.6000000000022</v>
      </c>
      <c r="AC67" s="161">
        <f t="shared" si="28"/>
        <v>10075.000000000002</v>
      </c>
      <c r="AD67" s="161">
        <f t="shared" si="28"/>
        <v>10332.400000000003</v>
      </c>
      <c r="AE67" s="161">
        <f t="shared" si="28"/>
        <v>10589.800000000005</v>
      </c>
      <c r="AF67" s="161">
        <f t="shared" si="28"/>
        <v>10847.200000000004</v>
      </c>
      <c r="AG67" s="160">
        <f t="shared" si="28"/>
        <v>11104.600000000006</v>
      </c>
      <c r="AH67" s="160">
        <f t="shared" si="28"/>
        <v>11362.000000000005</v>
      </c>
      <c r="AI67" s="160">
        <f t="shared" si="28"/>
        <v>11619.400000000005</v>
      </c>
      <c r="AJ67" s="160">
        <f t="shared" si="28"/>
        <v>11876.800000000008</v>
      </c>
      <c r="AK67" s="160">
        <f t="shared" si="28"/>
        <v>12134.200000000008</v>
      </c>
      <c r="AL67" s="160">
        <f t="shared" si="28"/>
        <v>12391.600000000008</v>
      </c>
      <c r="AM67" s="160">
        <f t="shared" si="28"/>
        <v>12649.000000000007</v>
      </c>
      <c r="AN67" s="160">
        <f t="shared" si="28"/>
        <v>12906.400000000011</v>
      </c>
      <c r="AO67" s="160">
        <f t="shared" si="28"/>
        <v>13163.80000000001</v>
      </c>
      <c r="AP67" s="160">
        <f t="shared" si="28"/>
        <v>13421.20000000001</v>
      </c>
      <c r="AQ67" s="160">
        <f t="shared" si="28"/>
        <v>13678.600000000009</v>
      </c>
      <c r="AR67" s="160">
        <f t="shared" si="28"/>
        <v>13936.000000000009</v>
      </c>
      <c r="AS67" s="160">
        <f t="shared" si="28"/>
        <v>14193.400000000012</v>
      </c>
      <c r="AT67" s="160">
        <f t="shared" si="28"/>
        <v>14450.80000000001</v>
      </c>
      <c r="AU67" s="160">
        <f t="shared" si="28"/>
        <v>14708.200000000015</v>
      </c>
      <c r="AV67" s="160">
        <f t="shared" si="28"/>
        <v>14965.600000000013</v>
      </c>
      <c r="AW67" s="160">
        <f t="shared" si="28"/>
        <v>15223.000000000013</v>
      </c>
      <c r="AX67" s="160">
        <f t="shared" si="28"/>
        <v>15480.400000000014</v>
      </c>
      <c r="AY67" s="160">
        <f t="shared" si="28"/>
        <v>15737.800000000014</v>
      </c>
      <c r="AZ67" s="160">
        <f t="shared" si="28"/>
        <v>15995.200000000015</v>
      </c>
      <c r="BA67" s="160">
        <f t="shared" si="28"/>
        <v>16252.600000000015</v>
      </c>
    </row>
    <row r="68" spans="2:53" x14ac:dyDescent="0.2">
      <c r="C68" s="113"/>
      <c r="D68" s="158"/>
    </row>
    <row r="69" spans="2:53" x14ac:dyDescent="0.2">
      <c r="C69" s="113"/>
      <c r="D69" s="158"/>
    </row>
    <row r="70" spans="2:53" x14ac:dyDescent="0.2">
      <c r="C70" s="113"/>
      <c r="D70" s="158"/>
    </row>
    <row r="71" spans="2:53" x14ac:dyDescent="0.2">
      <c r="C71" s="113"/>
      <c r="D71" s="158"/>
      <c r="P71" s="154" t="s">
        <v>293</v>
      </c>
    </row>
    <row r="72" spans="2:53" x14ac:dyDescent="0.2">
      <c r="C72" s="113"/>
      <c r="D72" s="158"/>
      <c r="P72" s="154" t="s">
        <v>292</v>
      </c>
    </row>
    <row r="73" spans="2:53" x14ac:dyDescent="0.2">
      <c r="C73" s="113"/>
      <c r="D73" s="158"/>
      <c r="P73" s="154" t="s">
        <v>303</v>
      </c>
    </row>
    <row r="74" spans="2:53" x14ac:dyDescent="0.2">
      <c r="C74" s="113"/>
      <c r="D74" s="158"/>
    </row>
    <row r="75" spans="2:53" x14ac:dyDescent="0.2">
      <c r="C75" s="113"/>
      <c r="D75" s="158"/>
      <c r="P75" s="154" t="s">
        <v>299</v>
      </c>
    </row>
    <row r="76" spans="2:53" x14ac:dyDescent="0.2">
      <c r="C76" s="113"/>
      <c r="D76" s="158"/>
      <c r="P76" s="154" t="s">
        <v>300</v>
      </c>
    </row>
    <row r="77" spans="2:53" x14ac:dyDescent="0.2">
      <c r="C77" s="113"/>
      <c r="D77" s="158"/>
      <c r="P77" s="154" t="s">
        <v>304</v>
      </c>
    </row>
    <row r="78" spans="2:53" x14ac:dyDescent="0.2">
      <c r="D78" s="158"/>
      <c r="J78" s="154">
        <v>130</v>
      </c>
      <c r="K78" s="164">
        <v>3.11</v>
      </c>
      <c r="Z78" s="164">
        <f>6000/5000</f>
        <v>1.2</v>
      </c>
    </row>
    <row r="79" spans="2:53" x14ac:dyDescent="0.2">
      <c r="H79" s="154" t="s">
        <v>294</v>
      </c>
      <c r="J79" s="154">
        <f>J78/1.5</f>
        <v>86.666666666666671</v>
      </c>
      <c r="L79" s="154">
        <f>J78*K78</f>
        <v>404.3</v>
      </c>
      <c r="M79" s="154">
        <f>L79*12</f>
        <v>4851.6000000000004</v>
      </c>
      <c r="P79" s="154" t="s">
        <v>301</v>
      </c>
    </row>
    <row r="80" spans="2:53" x14ac:dyDescent="0.2">
      <c r="H80" s="154" t="s">
        <v>295</v>
      </c>
      <c r="J80" s="154">
        <f>J79*K78</f>
        <v>269.53333333333336</v>
      </c>
      <c r="P80" s="154" t="s">
        <v>302</v>
      </c>
    </row>
    <row r="81" spans="8:27" x14ac:dyDescent="0.2">
      <c r="H81" s="154" t="s">
        <v>296</v>
      </c>
      <c r="J81" s="154">
        <f>J80*12</f>
        <v>3234.4000000000005</v>
      </c>
      <c r="P81" s="154" t="s">
        <v>305</v>
      </c>
    </row>
    <row r="82" spans="8:27" x14ac:dyDescent="0.2">
      <c r="H82" s="154" t="s">
        <v>297</v>
      </c>
      <c r="J82" s="154">
        <f>(((J78/1.5)*12) * K78) * 1.5</f>
        <v>4851.6000000000004</v>
      </c>
    </row>
    <row r="83" spans="8:27" x14ac:dyDescent="0.2">
      <c r="H83" s="154" t="s">
        <v>298</v>
      </c>
      <c r="J83" s="154">
        <f>J82*1.2</f>
        <v>5821.92</v>
      </c>
      <c r="P83" s="154" t="s">
        <v>299</v>
      </c>
    </row>
    <row r="84" spans="8:27" x14ac:dyDescent="0.2">
      <c r="P84" s="154" t="s">
        <v>300</v>
      </c>
      <c r="Z84" s="170">
        <v>0.10071942446043165</v>
      </c>
      <c r="AA84" s="154" t="s">
        <v>307</v>
      </c>
    </row>
    <row r="85" spans="8:27" x14ac:dyDescent="0.2">
      <c r="P85" s="154" t="s">
        <v>306</v>
      </c>
      <c r="AA85" s="154" t="s">
        <v>308</v>
      </c>
    </row>
    <row r="86" spans="8:27" x14ac:dyDescent="0.2">
      <c r="AA86" s="154" t="s">
        <v>309</v>
      </c>
    </row>
    <row r="87" spans="8:27" x14ac:dyDescent="0.2">
      <c r="AA87" s="154" t="s">
        <v>310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I16" sqref="I16"/>
    </sheetView>
  </sheetViews>
  <sheetFormatPr defaultRowHeight="16.5" x14ac:dyDescent="0.3"/>
  <sheetData>
    <row r="1" spans="1:9" x14ac:dyDescent="0.3">
      <c r="A1" s="202"/>
      <c r="B1" s="202"/>
      <c r="C1" s="202"/>
      <c r="D1" s="202">
        <v>2</v>
      </c>
      <c r="E1" s="202"/>
      <c r="F1" s="202"/>
      <c r="G1" s="202"/>
      <c r="H1" s="202"/>
    </row>
    <row r="2" spans="1:9" x14ac:dyDescent="0.3">
      <c r="A2" s="202"/>
      <c r="B2" s="202" t="s">
        <v>437</v>
      </c>
      <c r="C2" s="202" t="s">
        <v>438</v>
      </c>
      <c r="D2" s="202" t="s">
        <v>439</v>
      </c>
      <c r="E2" s="202" t="s">
        <v>440</v>
      </c>
      <c r="F2" s="202" t="s">
        <v>441</v>
      </c>
      <c r="G2" s="202"/>
      <c r="H2" s="202"/>
    </row>
    <row r="3" spans="1:9" x14ac:dyDescent="0.3">
      <c r="A3" s="202" t="s">
        <v>442</v>
      </c>
      <c r="B3" s="202">
        <v>10</v>
      </c>
      <c r="C3" s="202"/>
      <c r="D3" s="202"/>
      <c r="E3" s="202">
        <v>1</v>
      </c>
      <c r="F3" s="202">
        <v>10</v>
      </c>
      <c r="G3" s="202"/>
      <c r="H3" s="202"/>
    </row>
    <row r="4" spans="1:9" x14ac:dyDescent="0.3">
      <c r="A4" s="202" t="s">
        <v>443</v>
      </c>
      <c r="B4" s="202">
        <v>25</v>
      </c>
      <c r="C4" s="202"/>
      <c r="D4" s="202"/>
      <c r="E4" s="202">
        <v>2</v>
      </c>
      <c r="F4" s="202">
        <v>4</v>
      </c>
      <c r="G4" s="202"/>
      <c r="H4" s="202"/>
    </row>
    <row r="5" spans="1:9" x14ac:dyDescent="0.3">
      <c r="A5" s="202" t="s">
        <v>444</v>
      </c>
      <c r="B5" s="202">
        <v>100</v>
      </c>
      <c r="C5" s="202"/>
      <c r="D5" s="202"/>
      <c r="E5" s="202">
        <v>7</v>
      </c>
      <c r="F5" s="202">
        <v>1</v>
      </c>
      <c r="G5" s="202"/>
      <c r="H5" s="202"/>
    </row>
    <row r="6" spans="1:9" x14ac:dyDescent="0.3">
      <c r="A6" s="202" t="s">
        <v>445</v>
      </c>
      <c r="B6" s="202"/>
      <c r="C6" s="202">
        <v>3</v>
      </c>
      <c r="D6" s="202">
        <f>INT(100/D$1)</f>
        <v>50</v>
      </c>
      <c r="E6" s="202"/>
      <c r="F6" s="202"/>
      <c r="G6" s="202"/>
      <c r="H6" s="202"/>
    </row>
    <row r="7" spans="1:9" x14ac:dyDescent="0.3">
      <c r="A7" s="202" t="s">
        <v>446</v>
      </c>
      <c r="B7" s="202"/>
      <c r="C7" s="202">
        <v>5</v>
      </c>
      <c r="D7" s="202">
        <f>INT(250/D$1)</f>
        <v>125</v>
      </c>
      <c r="E7" s="202"/>
      <c r="F7" s="202"/>
      <c r="G7" s="202"/>
      <c r="H7" s="202"/>
    </row>
    <row r="8" spans="1:9" x14ac:dyDescent="0.3">
      <c r="A8" s="202" t="s">
        <v>447</v>
      </c>
      <c r="B8" s="202"/>
      <c r="C8" s="202">
        <v>7</v>
      </c>
      <c r="D8" s="202">
        <f>INT(1000/D$1)</f>
        <v>500</v>
      </c>
      <c r="E8" s="202"/>
      <c r="F8" s="202"/>
      <c r="G8" s="202"/>
      <c r="H8" s="202"/>
    </row>
    <row r="9" spans="1:9" x14ac:dyDescent="0.3">
      <c r="A9" s="202" t="s">
        <v>448</v>
      </c>
      <c r="B9" s="202"/>
      <c r="C9" s="202"/>
      <c r="D9" s="202"/>
      <c r="E9" s="202"/>
      <c r="F9" s="202"/>
      <c r="G9" s="202"/>
      <c r="H9" s="202"/>
    </row>
    <row r="10" spans="1:9" x14ac:dyDescent="0.3">
      <c r="A10" s="203" t="s">
        <v>449</v>
      </c>
      <c r="B10" s="203" t="s">
        <v>450</v>
      </c>
      <c r="C10" s="203" t="s">
        <v>451</v>
      </c>
      <c r="D10" s="203" t="s">
        <v>452</v>
      </c>
      <c r="E10" s="203" t="s">
        <v>453</v>
      </c>
      <c r="F10" s="203" t="s">
        <v>454</v>
      </c>
      <c r="G10" s="203" t="s">
        <v>455</v>
      </c>
      <c r="H10" s="203" t="s">
        <v>456</v>
      </c>
    </row>
    <row r="11" spans="1:9" x14ac:dyDescent="0.3">
      <c r="A11" s="204" t="s">
        <v>442</v>
      </c>
      <c r="B11" s="204" t="s">
        <v>457</v>
      </c>
      <c r="C11" s="204">
        <f>B$3-C6</f>
        <v>7</v>
      </c>
      <c r="D11" s="205">
        <f>C11/B$3</f>
        <v>0.7</v>
      </c>
      <c r="E11" s="206">
        <f>C11/E$3</f>
        <v>7</v>
      </c>
      <c r="F11" s="204">
        <f>INT(D$6/C11)+1</f>
        <v>8</v>
      </c>
      <c r="G11" s="204">
        <f>F11*E$3</f>
        <v>8</v>
      </c>
      <c r="H11" s="213">
        <f>G11*F$3</f>
        <v>80</v>
      </c>
    </row>
    <row r="12" spans="1:9" x14ac:dyDescent="0.3">
      <c r="A12" s="207"/>
      <c r="B12" s="207" t="s">
        <v>458</v>
      </c>
      <c r="C12" s="207">
        <f>B$3-C7</f>
        <v>5</v>
      </c>
      <c r="D12" s="208">
        <f t="shared" ref="D12:D13" si="0">C12/B$3</f>
        <v>0.5</v>
      </c>
      <c r="E12" s="209">
        <f t="shared" ref="E12:E13" si="1">C12/E$3</f>
        <v>5</v>
      </c>
      <c r="F12" s="207">
        <f>INT(D$7/C12)+1</f>
        <v>26</v>
      </c>
      <c r="G12" s="207">
        <f>F12*E$3</f>
        <v>26</v>
      </c>
      <c r="H12" s="202">
        <f>G12*F$4</f>
        <v>104</v>
      </c>
    </row>
    <row r="13" spans="1:9" x14ac:dyDescent="0.3">
      <c r="A13" s="207"/>
      <c r="B13" s="207" t="s">
        <v>459</v>
      </c>
      <c r="C13" s="207">
        <f>B$3-C8</f>
        <v>3</v>
      </c>
      <c r="D13" s="208">
        <f t="shared" si="0"/>
        <v>0.3</v>
      </c>
      <c r="E13" s="209">
        <f t="shared" si="1"/>
        <v>3</v>
      </c>
      <c r="F13" s="207">
        <f>INT(D$8/C13)+1</f>
        <v>167</v>
      </c>
      <c r="G13" s="207">
        <f>F13*E$3</f>
        <v>167</v>
      </c>
      <c r="H13" s="202">
        <f>G13*F$5</f>
        <v>167</v>
      </c>
    </row>
    <row r="14" spans="1:9" x14ac:dyDescent="0.3">
      <c r="A14" s="204" t="s">
        <v>443</v>
      </c>
      <c r="B14" s="204" t="s">
        <v>445</v>
      </c>
      <c r="C14" s="204">
        <f>B$4-C6</f>
        <v>22</v>
      </c>
      <c r="D14" s="205">
        <f>C14/B$4</f>
        <v>0.88</v>
      </c>
      <c r="E14" s="206">
        <f>C14/E$4</f>
        <v>11</v>
      </c>
      <c r="F14" s="204">
        <f>INT(D$6/C14)+1</f>
        <v>3</v>
      </c>
      <c r="G14" s="204">
        <f>F14*E$4</f>
        <v>6</v>
      </c>
      <c r="H14" s="213">
        <f>G14*F$3</f>
        <v>60</v>
      </c>
      <c r="I14" t="s">
        <v>461</v>
      </c>
    </row>
    <row r="15" spans="1:9" x14ac:dyDescent="0.3">
      <c r="A15" s="207"/>
      <c r="B15" s="207" t="s">
        <v>458</v>
      </c>
      <c r="C15" s="207">
        <f>B$4-C7</f>
        <v>20</v>
      </c>
      <c r="D15" s="208">
        <f t="shared" ref="D15:D16" si="2">C15/B$4</f>
        <v>0.8</v>
      </c>
      <c r="E15" s="209">
        <f t="shared" ref="E15:E16" si="3">C15/E$4</f>
        <v>10</v>
      </c>
      <c r="F15" s="207">
        <f>INT(D$7/C15)+1</f>
        <v>7</v>
      </c>
      <c r="G15" s="207">
        <f>F15*E$4</f>
        <v>14</v>
      </c>
      <c r="H15" s="202">
        <f>G15*F$4</f>
        <v>56</v>
      </c>
      <c r="I15" t="s">
        <v>462</v>
      </c>
    </row>
    <row r="16" spans="1:9" x14ac:dyDescent="0.3">
      <c r="A16" s="207"/>
      <c r="B16" s="207" t="s">
        <v>447</v>
      </c>
      <c r="C16" s="207">
        <f>B$4-C8</f>
        <v>18</v>
      </c>
      <c r="D16" s="208">
        <f t="shared" si="2"/>
        <v>0.72</v>
      </c>
      <c r="E16" s="209">
        <f t="shared" si="3"/>
        <v>9</v>
      </c>
      <c r="F16" s="207">
        <f>INT(D$8/C16)+1</f>
        <v>28</v>
      </c>
      <c r="G16" s="207">
        <f>F16*E$4</f>
        <v>56</v>
      </c>
      <c r="H16" s="202">
        <f>G16*F$5</f>
        <v>56</v>
      </c>
    </row>
    <row r="17" spans="1:8" x14ac:dyDescent="0.3">
      <c r="A17" s="204" t="s">
        <v>460</v>
      </c>
      <c r="B17" s="204" t="s">
        <v>445</v>
      </c>
      <c r="C17" s="204">
        <f>B$5-C6</f>
        <v>97</v>
      </c>
      <c r="D17" s="205">
        <f>C17/B$5</f>
        <v>0.97</v>
      </c>
      <c r="E17" s="206">
        <f>C17/E$5</f>
        <v>13.857142857142858</v>
      </c>
      <c r="F17" s="204">
        <f>INT(D$6/C17)+1</f>
        <v>1</v>
      </c>
      <c r="G17" s="204">
        <f>F17*E$5</f>
        <v>7</v>
      </c>
      <c r="H17" s="213">
        <f>G17*F$3</f>
        <v>70</v>
      </c>
    </row>
    <row r="18" spans="1:8" x14ac:dyDescent="0.3">
      <c r="A18" s="207"/>
      <c r="B18" s="207" t="s">
        <v>458</v>
      </c>
      <c r="C18" s="207">
        <f t="shared" ref="C18:C19" si="4">B$5-C7</f>
        <v>95</v>
      </c>
      <c r="D18" s="208">
        <f t="shared" ref="D18:D19" si="5">C18/B$5</f>
        <v>0.95</v>
      </c>
      <c r="E18" s="209">
        <f t="shared" ref="E18:E19" si="6">C18/E$5</f>
        <v>13.571428571428571</v>
      </c>
      <c r="F18" s="207">
        <f>INT(D$7/C18)+1</f>
        <v>2</v>
      </c>
      <c r="G18" s="207">
        <f>F18*E$5</f>
        <v>14</v>
      </c>
      <c r="H18" s="202">
        <f>G18*F$4</f>
        <v>56</v>
      </c>
    </row>
    <row r="19" spans="1:8" x14ac:dyDescent="0.3">
      <c r="A19" s="210"/>
      <c r="B19" s="210" t="s">
        <v>447</v>
      </c>
      <c r="C19" s="210">
        <f t="shared" si="4"/>
        <v>93</v>
      </c>
      <c r="D19" s="211">
        <f t="shared" si="5"/>
        <v>0.93</v>
      </c>
      <c r="E19" s="212">
        <f t="shared" si="6"/>
        <v>13.285714285714286</v>
      </c>
      <c r="F19" s="210">
        <f>INT(D$8/C19)+1</f>
        <v>6</v>
      </c>
      <c r="G19" s="210">
        <f>F19*E$5</f>
        <v>42</v>
      </c>
      <c r="H19" s="202">
        <f>G19*F$5</f>
        <v>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6</vt:i4>
      </vt:variant>
    </vt:vector>
  </HeadingPairs>
  <TitlesOfParts>
    <vt:vector size="15" baseType="lpstr">
      <vt:lpstr>Sheet1</vt:lpstr>
      <vt:lpstr>유닛스탯</vt:lpstr>
      <vt:lpstr>Sheet2</vt:lpstr>
      <vt:lpstr>Sheet3</vt:lpstr>
      <vt:lpstr>영웅스탯</vt:lpstr>
      <vt:lpstr>매칭-전투력</vt:lpstr>
      <vt:lpstr>매트릭스</vt:lpstr>
      <vt:lpstr>전투력 매트릭스</vt:lpstr>
      <vt:lpstr>Sheet4</vt:lpstr>
      <vt:lpstr>base_score</vt:lpstr>
      <vt:lpstr>base_stat</vt:lpstr>
      <vt:lpstr>base_stat1</vt:lpstr>
      <vt:lpstr>point_per_hlevel</vt:lpstr>
      <vt:lpstr>squad_dps</vt:lpstr>
      <vt:lpstr>unit_dps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2016-05-28T04:36:39Z</dcterms:modified>
</cp:coreProperties>
</file>