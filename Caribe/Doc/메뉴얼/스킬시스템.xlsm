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defaultThemeVersion="124226"/>
  <bookViews>
    <workbookView xWindow="0" yWindow="60" windowWidth="10230" windowHeight="4260"/>
  </bookViews>
  <sheets>
    <sheet name="메뉴얼" sheetId="1" r:id="rId1"/>
    <sheet name="스킬유형" sheetId="2" r:id="rId2"/>
    <sheet name="Sheet3" sheetId="3" r:id="rId3"/>
  </sheets>
  <definedNames>
    <definedName name="speed">메뉴얼!$F$161</definedName>
  </definedNames>
  <calcPr calcId="152511"/>
</workbook>
</file>

<file path=xl/calcChain.xml><?xml version="1.0" encoding="utf-8"?>
<calcChain xmlns="http://schemas.openxmlformats.org/spreadsheetml/2006/main">
  <c r="C147" i="1" l="1"/>
  <c r="B147" i="1"/>
  <c r="C146" i="1"/>
  <c r="B146" i="1"/>
  <c r="B224" i="1" l="1"/>
  <c r="B225" i="1"/>
  <c r="B228" i="1"/>
  <c r="C228" i="1"/>
  <c r="B229" i="1"/>
  <c r="C229" i="1"/>
  <c r="B223" i="1"/>
  <c r="S183" i="1" l="1"/>
  <c r="P183" i="1"/>
  <c r="O183" i="1"/>
  <c r="J183" i="1"/>
  <c r="K183" i="1" s="1"/>
  <c r="H183" i="1"/>
  <c r="G183" i="1"/>
  <c r="S174" i="1" l="1"/>
  <c r="S175" i="1"/>
  <c r="S176" i="1"/>
  <c r="S177" i="1"/>
  <c r="S178" i="1"/>
  <c r="S179" i="1"/>
  <c r="S180" i="1"/>
  <c r="S182" i="1"/>
  <c r="S184" i="1"/>
  <c r="S185" i="1"/>
  <c r="S164" i="1"/>
  <c r="S165" i="1"/>
  <c r="S166" i="1"/>
  <c r="S167" i="1"/>
  <c r="S168" i="1"/>
  <c r="S169" i="1"/>
  <c r="S170" i="1"/>
  <c r="S171" i="1"/>
  <c r="S172" i="1"/>
  <c r="S173" i="1"/>
  <c r="P165" i="1"/>
  <c r="P166" i="1"/>
  <c r="P167" i="1"/>
  <c r="P172" i="1"/>
  <c r="P173" i="1"/>
  <c r="P174" i="1"/>
  <c r="P175" i="1"/>
  <c r="P180" i="1"/>
  <c r="P182" i="1"/>
  <c r="P184" i="1"/>
  <c r="P185" i="1"/>
  <c r="P162" i="1"/>
  <c r="O165" i="1"/>
  <c r="O166" i="1"/>
  <c r="O167" i="1"/>
  <c r="O168" i="1"/>
  <c r="P168" i="1" s="1"/>
  <c r="O169" i="1"/>
  <c r="P169" i="1" s="1"/>
  <c r="O170" i="1"/>
  <c r="P170" i="1" s="1"/>
  <c r="O171" i="1"/>
  <c r="P171" i="1" s="1"/>
  <c r="O172" i="1"/>
  <c r="O173" i="1"/>
  <c r="O174" i="1"/>
  <c r="O175" i="1"/>
  <c r="O176" i="1"/>
  <c r="P176" i="1" s="1"/>
  <c r="O177" i="1"/>
  <c r="P177" i="1" s="1"/>
  <c r="O178" i="1"/>
  <c r="P178" i="1" s="1"/>
  <c r="O179" i="1"/>
  <c r="P179" i="1" s="1"/>
  <c r="O180" i="1"/>
  <c r="O182" i="1"/>
  <c r="O184" i="1"/>
  <c r="O185" i="1"/>
  <c r="O164" i="1"/>
  <c r="P164" i="1" s="1"/>
  <c r="G164" i="1"/>
  <c r="H164" i="1" s="1"/>
  <c r="G165" i="1"/>
  <c r="H165" i="1" s="1"/>
  <c r="G166" i="1"/>
  <c r="H166" i="1" s="1"/>
  <c r="G167" i="1"/>
  <c r="H167" i="1" s="1"/>
  <c r="G168" i="1"/>
  <c r="H168" i="1" s="1"/>
  <c r="G169" i="1"/>
  <c r="H169" i="1" s="1"/>
  <c r="G170" i="1"/>
  <c r="H170" i="1" s="1"/>
  <c r="G171" i="1"/>
  <c r="H171" i="1" s="1"/>
  <c r="G172" i="1"/>
  <c r="H172" i="1" s="1"/>
  <c r="G174" i="1"/>
  <c r="H174" i="1" s="1"/>
  <c r="G175" i="1"/>
  <c r="H175" i="1" s="1"/>
  <c r="G176" i="1"/>
  <c r="H176" i="1" s="1"/>
  <c r="G177" i="1"/>
  <c r="H177" i="1" s="1"/>
  <c r="G178" i="1"/>
  <c r="H178" i="1" s="1"/>
  <c r="G179" i="1"/>
  <c r="H179" i="1" s="1"/>
  <c r="G180" i="1"/>
  <c r="H180" i="1" s="1"/>
  <c r="G182" i="1"/>
  <c r="H182" i="1" s="1"/>
  <c r="G184" i="1"/>
  <c r="H184" i="1" s="1"/>
  <c r="G185" i="1"/>
  <c r="H185" i="1" s="1"/>
  <c r="G173" i="1"/>
  <c r="H173" i="1" s="1"/>
  <c r="J164" i="1"/>
  <c r="K164" i="1" s="1"/>
  <c r="J173" i="1"/>
  <c r="K173" i="1" s="1"/>
  <c r="K177" i="1"/>
  <c r="K176" i="1"/>
  <c r="K175" i="1"/>
  <c r="K172" i="1"/>
  <c r="K169" i="1"/>
  <c r="K167" i="1"/>
  <c r="K165" i="1"/>
  <c r="J174" i="1"/>
  <c r="K174" i="1" s="1"/>
  <c r="J175" i="1"/>
  <c r="J176" i="1"/>
  <c r="J177" i="1"/>
  <c r="J178" i="1"/>
  <c r="K178" i="1" s="1"/>
  <c r="J179" i="1"/>
  <c r="K179" i="1" s="1"/>
  <c r="J180" i="1"/>
  <c r="K180" i="1" s="1"/>
  <c r="J182" i="1"/>
  <c r="K182" i="1" s="1"/>
  <c r="J184" i="1"/>
  <c r="K184" i="1" s="1"/>
  <c r="J185" i="1"/>
  <c r="K185" i="1" s="1"/>
  <c r="J165" i="1"/>
  <c r="J166" i="1"/>
  <c r="K166" i="1" s="1"/>
  <c r="J167" i="1"/>
  <c r="J168" i="1"/>
  <c r="K168" i="1" s="1"/>
  <c r="J169" i="1"/>
  <c r="J170" i="1"/>
  <c r="K170" i="1" s="1"/>
  <c r="J171" i="1"/>
  <c r="K171" i="1" s="1"/>
  <c r="J172" i="1"/>
  <c r="B139" i="1" l="1"/>
  <c r="C139" i="1"/>
  <c r="B140" i="1"/>
  <c r="C140" i="1"/>
  <c r="B141" i="1"/>
  <c r="C141" i="1"/>
  <c r="B142" i="1"/>
  <c r="C142" i="1"/>
  <c r="C138" i="1"/>
  <c r="B138" i="1"/>
  <c r="B81" i="1"/>
  <c r="C81" i="1"/>
  <c r="B82" i="1"/>
  <c r="C82" i="1"/>
  <c r="B83" i="1"/>
  <c r="C83" i="1"/>
  <c r="B84" i="1"/>
  <c r="C84" i="1"/>
  <c r="C80" i="1"/>
  <c r="B80" i="1"/>
  <c r="C58" i="1"/>
  <c r="C59" i="1"/>
  <c r="C60" i="1"/>
  <c r="C61" i="1"/>
  <c r="B58" i="1"/>
  <c r="B59" i="1"/>
  <c r="B60" i="1"/>
  <c r="B61" i="1"/>
  <c r="C57" i="1"/>
  <c r="B57" i="1"/>
  <c r="C49" i="1"/>
  <c r="C148" i="1" s="1"/>
  <c r="C50" i="1"/>
  <c r="C149" i="1" s="1"/>
  <c r="C51" i="1"/>
  <c r="C150" i="1" s="1"/>
  <c r="C52" i="1"/>
  <c r="C48" i="1"/>
  <c r="B49" i="1"/>
  <c r="B148" i="1" s="1"/>
  <c r="B50" i="1"/>
  <c r="B149" i="1" s="1"/>
  <c r="B51" i="1"/>
  <c r="B150" i="1" s="1"/>
  <c r="B52" i="1"/>
  <c r="B48" i="1"/>
</calcChain>
</file>

<file path=xl/comments1.xml><?xml version="1.0" encoding="utf-8"?>
<comments xmlns="http://schemas.openxmlformats.org/spreadsheetml/2006/main">
  <authors>
    <author>만든 이</author>
  </authors>
  <commentList>
    <comment ref="C4" authorId="0" shapeId="0">
      <text>
        <r>
          <rPr>
            <sz val="9"/>
            <color indexed="81"/>
            <rFont val="돋움"/>
            <family val="3"/>
            <charset val="129"/>
          </rPr>
          <t>단일대상에게 여러 번 타격한다.
모션타점때마다 피해를 입힌다.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타점이 여러개있는게 특징이다.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" authorId="0" shapeId="0">
      <text>
        <r>
          <rPr>
            <sz val="9"/>
            <color indexed="81"/>
            <rFont val="돋움"/>
            <family val="3"/>
            <charset val="129"/>
          </rPr>
          <t>자신에게 시전 주변의 적에게 1초마다 데미지를 입힌다.</t>
        </r>
      </text>
    </comment>
    <comment ref="B5" authorId="0" shapeId="0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잡고있는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의미함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타겟은</t>
        </r>
        <r>
          <rPr>
            <b/>
            <sz val="9"/>
            <color indexed="81"/>
            <rFont val="Tahoma"/>
            <family val="2"/>
          </rPr>
          <t xml:space="preserve"> UseSkill</t>
        </r>
        <r>
          <rPr>
            <b/>
            <sz val="9"/>
            <color indexed="81"/>
            <rFont val="돋움"/>
            <family val="3"/>
            <charset val="129"/>
          </rPr>
          <t>호출시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넘겨줘야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함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만약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직접지정되었다면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
자신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현재타겟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</text>
    </comment>
    <comment ref="B6" authorId="0" shapeId="0">
      <text>
        <r>
          <rPr>
            <b/>
            <sz val="9"/>
            <color indexed="81"/>
            <rFont val="돋움"/>
            <family val="3"/>
            <charset val="129"/>
          </rPr>
          <t>기준타겟의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우호조건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만약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기준타겟이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현재타겟일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현재타겟의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우호와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기준타겟우호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일치하지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않으면스킬사용이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에러코드를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리턴한다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 xml:space="preserve">
지정되지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파라메터의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따른다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기준타겟이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자신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파라메터는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무시된다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F6" authorId="0" shapeId="0">
      <text>
        <r>
          <rPr>
            <b/>
            <sz val="9"/>
            <color indexed="81"/>
            <rFont val="돋움"/>
            <family val="3"/>
            <charset val="129"/>
          </rPr>
          <t>현재타겟은 언제나 현재공격대상이 들어오므로 우호가 "아군"이면 커스텀 검색(가장가까운 이라거나)을 호출해 얻어야 한다.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
(</t>
        </r>
        <r>
          <rPr>
            <b/>
            <sz val="9"/>
            <color indexed="81"/>
            <rFont val="돋움"/>
            <family val="3"/>
            <charset val="129"/>
          </rPr>
          <t>기준타겟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기준타겟주변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 xml:space="preserve">
(</t>
        </r>
        <r>
          <rPr>
            <b/>
            <sz val="9"/>
            <color indexed="81"/>
            <rFont val="돋움"/>
            <family val="3"/>
            <charset val="129"/>
          </rPr>
          <t>기준타겟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기준타겟주변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H7" authorId="0" shapeId="0">
      <text>
        <r>
          <rPr>
            <sz val="9"/>
            <color indexed="81"/>
            <rFont val="돋움"/>
            <family val="3"/>
            <charset val="129"/>
          </rPr>
          <t>기준타겟범위내에서 가장 체력이 적은 부대를 찾아 기준타겟으로 한다.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이름은 복수형이지만 실제로는 부대원 하나를 기준타겟으로 한다.</t>
        </r>
      </text>
    </comment>
    <comment ref="B8" authorId="0" shape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C8" authorId="0" shape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적이냐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아군이냐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8" authorId="0" shapeId="0">
      <text>
        <r>
          <rPr>
            <sz val="9"/>
            <color indexed="81"/>
            <rFont val="돋움"/>
            <family val="3"/>
            <charset val="129"/>
          </rPr>
          <t>기준타겟조건으로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검색시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한계범위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>.
0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거리제한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기준타겟이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되며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적용된다</t>
        </r>
        <r>
          <rPr>
            <b/>
            <sz val="9"/>
            <color indexed="81"/>
            <rFont val="Tahoma"/>
            <family val="2"/>
          </rPr>
          <t xml:space="preserve">. 
</t>
        </r>
        <r>
          <rPr>
            <b/>
            <sz val="9"/>
            <color indexed="81"/>
            <rFont val="돋움"/>
            <family val="3"/>
            <charset val="129"/>
          </rPr>
          <t>시전대상은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기준타겟이지만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생략되어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단위</t>
        </r>
        <r>
          <rPr>
            <b/>
            <sz val="9"/>
            <color indexed="81"/>
            <rFont val="Tahoma"/>
            <family val="2"/>
          </rPr>
          <t>:</t>
        </r>
        <r>
          <rPr>
            <b/>
            <sz val="9"/>
            <color indexed="81"/>
            <rFont val="돋움"/>
            <family val="3"/>
            <charset val="129"/>
          </rPr>
          <t>미터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D9" authorId="0" shape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E9" authorId="0" shape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E10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B11" authorId="0" shapeId="0">
      <text>
        <r>
          <rPr>
            <b/>
            <sz val="9"/>
            <color indexed="81"/>
            <rFont val="돋움"/>
            <family val="3"/>
            <charset val="129"/>
          </rPr>
          <t>실제 효과가 적용될 대상. 따로 지정하지 않으면(대상자) 시전대상이 발동대상으로 된다.
버프류 효과의 경우 버프소지자(시전대상)와 발동대상이 다를 수 있다.
(시전대상/시전대상주변)</t>
        </r>
      </text>
    </comment>
    <comment ref="D11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B12" authorId="0" shapeId="0">
      <text>
        <r>
          <rPr>
            <b/>
            <sz val="9"/>
            <color indexed="81"/>
            <rFont val="돋움"/>
            <family val="3"/>
            <charset val="129"/>
          </rPr>
          <t>발동대상을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선정할때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버프소지자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시전대상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객체가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
(</t>
        </r>
        <r>
          <rPr>
            <b/>
            <sz val="9"/>
            <color indexed="81"/>
            <rFont val="돋움"/>
            <family val="3"/>
            <charset val="129"/>
          </rPr>
          <t>단위</t>
        </r>
        <r>
          <rPr>
            <b/>
            <sz val="9"/>
            <color indexed="81"/>
            <rFont val="Tahoma"/>
            <family val="2"/>
          </rPr>
          <t>:</t>
        </r>
        <r>
          <rPr>
            <b/>
            <sz val="9"/>
            <color indexed="81"/>
            <rFont val="돋움"/>
            <family val="3"/>
            <charset val="129"/>
          </rPr>
          <t>미터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13" authorId="0" shapeId="0">
      <text>
        <r>
          <rPr>
            <b/>
            <sz val="9"/>
            <color indexed="81"/>
            <rFont val="돋움"/>
            <family val="3"/>
            <charset val="129"/>
          </rPr>
          <t>발동대상자를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선정할때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비교할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우호조건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지정하지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시전대상자와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같은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14" authorId="0" shapeId="0">
      <text>
        <r>
          <rPr>
            <b/>
            <sz val="9"/>
            <color indexed="81"/>
            <rFont val="돋움"/>
            <family val="3"/>
            <charset val="129"/>
          </rPr>
          <t>버프의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디폴트는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초</t>
        </r>
        <r>
          <rPr>
            <b/>
            <sz val="9"/>
            <color indexed="81"/>
            <rFont val="Tahoma"/>
            <family val="2"/>
          </rPr>
          <t>(1</t>
        </r>
        <r>
          <rPr>
            <b/>
            <sz val="9"/>
            <color indexed="81"/>
            <rFont val="돋움"/>
            <family val="3"/>
            <charset val="129"/>
          </rPr>
          <t>회발동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돋움"/>
            <family val="3"/>
            <charset val="129"/>
          </rPr>
          <t>단위</t>
        </r>
        <r>
          <rPr>
            <b/>
            <sz val="9"/>
            <color indexed="81"/>
            <rFont val="Tahoma"/>
            <family val="2"/>
          </rPr>
          <t xml:space="preserve">: </t>
        </r>
        <r>
          <rPr>
            <b/>
            <sz val="9"/>
            <color indexed="81"/>
            <rFont val="돋움"/>
            <family val="3"/>
            <charset val="129"/>
          </rPr>
          <t>초</t>
        </r>
      </text>
    </comment>
    <comment ref="B15" authorId="0" shapeId="0">
      <text>
        <r>
          <rPr>
            <b/>
            <sz val="9"/>
            <color indexed="81"/>
            <rFont val="돋움"/>
            <family val="3"/>
            <charset val="129"/>
          </rPr>
          <t>지속시간동안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주기적인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효과적용이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필요하다면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디폴트는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초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단위</t>
        </r>
        <r>
          <rPr>
            <b/>
            <sz val="9"/>
            <color indexed="81"/>
            <rFont val="Tahoma"/>
            <family val="2"/>
          </rPr>
          <t xml:space="preserve">: </t>
        </r>
        <r>
          <rPr>
            <b/>
            <sz val="9"/>
            <color indexed="81"/>
            <rFont val="돋움"/>
            <family val="3"/>
            <charset val="129"/>
          </rPr>
          <t>초</t>
        </r>
      </text>
    </comment>
    <comment ref="B16" authorId="0" shape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시전자에게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이펙트
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반복없음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17" authorId="0" shapeId="0">
      <text>
        <r>
          <rPr>
            <b/>
            <sz val="9"/>
            <color indexed="81"/>
            <rFont val="돋움"/>
            <family val="3"/>
            <charset val="129"/>
          </rPr>
          <t>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타점에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시전자에게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스킬모션에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타점이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여러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개이었으면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이것도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그때마다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생성된다</t>
        </r>
        <r>
          <rPr>
            <b/>
            <sz val="9"/>
            <color indexed="81"/>
            <rFont val="Tahoma"/>
            <family val="2"/>
          </rPr>
          <t>.
(</t>
        </r>
        <r>
          <rPr>
            <b/>
            <sz val="9"/>
            <color indexed="81"/>
            <rFont val="돋움"/>
            <family val="3"/>
            <charset val="129"/>
          </rPr>
          <t>반복없음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C17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무쌍의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모션타점이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개이었으므로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슈팅이펙트도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</t>
        </r>
      </text>
    </comment>
    <comment ref="B18" authorId="0" shapeId="0">
      <text>
        <r>
          <rPr>
            <b/>
            <sz val="9"/>
            <color indexed="81"/>
            <rFont val="돋움"/>
            <family val="3"/>
            <charset val="129"/>
          </rPr>
          <t>효과가 최초 적용될때 타겟에게 생기는 이펙트. 근접타격은 슈팅때와 시점이 같지만 발사체의 경우는 슈팅 후 목표물에 날아가 맞았을때 타겟이펙트가 생긴다.
(반복없음)</t>
        </r>
      </text>
    </comment>
    <comment ref="C18" authorId="0" shapeId="0">
      <text>
        <r>
          <rPr>
            <b/>
            <sz val="9"/>
            <color indexed="81"/>
            <rFont val="돋움"/>
            <family val="3"/>
            <charset val="129"/>
          </rPr>
          <t>이 경우 발동(타격)이 여러 번이므로 발동시마다 내부적으로 카운팅을 해서 최초 발동때만 타겟이펙트를 생성시킨다. 발동카운팅은 최초 스킬 사용하는 시점에서 초기화 시킨다.</t>
        </r>
      </text>
    </comment>
    <comment ref="B19" authorId="0" shapeId="0">
      <text>
        <r>
          <rPr>
            <b/>
            <sz val="9"/>
            <color indexed="81"/>
            <rFont val="돋움"/>
            <family val="3"/>
            <charset val="129"/>
          </rPr>
          <t>타겟을 기준으로 시전대상이 정해져서 시전대상에게 효과를 적용할때 각 시전대상들에게 생기는 이펙트</t>
        </r>
      </text>
    </comment>
    <comment ref="B20" authorId="0" shape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B21" authorId="0" shapeId="0">
      <text>
        <r>
          <rPr>
            <b/>
            <sz val="9"/>
            <color indexed="81"/>
            <rFont val="돋움"/>
            <family val="3"/>
            <charset val="129"/>
          </rPr>
          <t>효과가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실제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적용될때마다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이펙트
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반복없음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21" authorId="0" shapeId="0">
      <text>
        <r>
          <rPr>
            <sz val="9"/>
            <color indexed="81"/>
            <rFont val="돋움"/>
            <family val="3"/>
            <charset val="129"/>
          </rPr>
          <t>슈팅시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타격대상에게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B22" authorId="0" shapeId="0">
      <text>
        <r>
          <rPr>
            <sz val="9"/>
            <color indexed="81"/>
            <rFont val="돋움"/>
            <family val="3"/>
            <charset val="129"/>
          </rPr>
          <t>한번 회전을 하여 주변의 적에게 피해를 입힌다.</t>
        </r>
      </text>
    </comment>
    <comment ref="C22" authorId="0" shapeId="0">
      <text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돋움"/>
            <family val="3"/>
            <charset val="129"/>
          </rPr>
          <t>초간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회전하며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주변적들에게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</t>
        </r>
        <r>
          <rPr>
            <sz val="9"/>
            <color indexed="81"/>
            <rFont val="돋움"/>
            <family val="3"/>
            <charset val="129"/>
          </rPr>
          <t>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입힌다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22" authorId="0" shapeId="0">
      <text>
        <r>
          <rPr>
            <sz val="9"/>
            <color indexed="81"/>
            <rFont val="돋움"/>
            <family val="3"/>
            <charset val="129"/>
          </rPr>
          <t>타점때마다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화살을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>
      <text>
        <r>
          <rPr>
            <sz val="9"/>
            <color indexed="81"/>
            <rFont val="돋움"/>
            <family val="3"/>
            <charset val="129"/>
          </rPr>
          <t xml:space="preserve">지정한 바닥을 즉시 불바다로 만들어 반경5미터 이내의 적들은 1초마다 피해를 입는다.
바닥타겟유형은 버프객체를 가질 독자적인 리시버(불지역)를 만들어 그 리시버가 버프객체를 가진다
</t>
        </r>
      </text>
    </comment>
    <comment ref="B25" authorId="0" shape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적이냐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아군이냐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6" authorId="0" shape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적이냐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아군이냐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6" authorId="0" shapeId="0">
      <text>
        <r>
          <rPr>
            <b/>
            <sz val="9"/>
            <color indexed="81"/>
            <rFont val="돋움"/>
            <family val="3"/>
            <charset val="129"/>
          </rPr>
          <t>기준타겟</t>
        </r>
      </text>
    </comment>
    <comment ref="B27" authorId="0" shapeId="0">
      <text>
        <r>
          <rPr>
            <b/>
            <sz val="9"/>
            <color indexed="81"/>
            <rFont val="돋움"/>
            <family val="3"/>
            <charset val="129"/>
          </rPr>
          <t>기준타겟을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중심으로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객체를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걸러낼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
따로지정하지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원형이된다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D27" authorId="0" shape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E27" authorId="0" shape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B28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일관성을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유지하기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적용할때는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적용해야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발동대상은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받은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대상하나를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의미한다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시전대상은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복수가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될수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있으므로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시전대상자들중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의미한다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D28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F28" authorId="0" shape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9" authorId="0" shape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B30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발동대상우호는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B33" authorId="0" shape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C33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B34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B35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C35" authorId="0" shapeId="0">
      <text>
        <r>
          <rPr>
            <b/>
            <sz val="9"/>
            <color indexed="81"/>
            <rFont val="돋움"/>
            <family val="3"/>
            <charset val="129"/>
          </rPr>
          <t>지속시간에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다이나믹하게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변동해야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하므로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초짜리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애니메이션으로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반복시킨</t>
        </r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6" authorId="0" shape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C36" authorId="0" shapeId="0">
      <text>
        <r>
          <rPr>
            <sz val="9"/>
            <color indexed="81"/>
            <rFont val="돋움"/>
            <family val="3"/>
            <charset val="129"/>
          </rPr>
          <t>타점때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발동대상에게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D36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무쌍의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모션타점이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개이었으므로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슈팅이펙트도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D38" authorId="0" shapeId="0">
      <text>
        <r>
          <rPr>
            <b/>
            <sz val="9"/>
            <color indexed="81"/>
            <rFont val="돋움"/>
            <family val="3"/>
            <charset val="129"/>
          </rPr>
          <t>한번에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여러발의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발사체를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발사한다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각각의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무엇이냐에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하드코딩이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필요할듯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시전대상을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조건형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매직미사일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부채꼴형으로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가능할지도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E38" authorId="0" shapeId="0">
      <text>
        <r>
          <rPr>
            <sz val="9"/>
            <color indexed="81"/>
            <rFont val="돋움"/>
            <family val="3"/>
            <charset val="129"/>
          </rPr>
          <t>냉기화살을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타겟을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냉기지대가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지대는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초간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지속되며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초마다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입힌다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C41" authorId="0" shapeId="0">
      <text>
        <r>
          <rPr>
            <sz val="9"/>
            <color indexed="81"/>
            <rFont val="돋움"/>
            <family val="3"/>
            <charset val="129"/>
          </rPr>
          <t>시전대상도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타겟자신이므로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생략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2" authorId="0" shapeId="0">
      <text>
        <r>
          <rPr>
            <b/>
            <sz val="9"/>
            <color indexed="81"/>
            <rFont val="돋움"/>
            <family val="3"/>
            <charset val="129"/>
          </rPr>
          <t>기준타겟을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중심으로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객체를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걸러낼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 xml:space="preserve">
따로지정하지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원형이된다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사실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이경우는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박스형태의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어울리지만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원형으로도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비슷하게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생략함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C42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버프받을사람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이다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F42" authorId="0" shape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B43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43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E43" authorId="0" shapeId="0">
      <text>
        <r>
          <rPr>
            <sz val="9"/>
            <color indexed="81"/>
            <rFont val="돋움"/>
            <family val="3"/>
            <charset val="129"/>
          </rPr>
          <t>시전대상이 좌표라면 우호는 무시된다. 바닥에는 우호가 없기때문.</t>
        </r>
      </text>
    </comment>
    <comment ref="F43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B44" authorId="0" shape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C44" authorId="0" shape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D44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무쌍의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모션타점이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개이었으므로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슈팅이펙트도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</t>
        </r>
      </text>
    </comment>
    <comment ref="E44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좌표라면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시전범위는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무조건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이된다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바닥은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복수가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아니기때문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45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발동대상우호는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C45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발동대상우호는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H45" authorId="0" shapeId="0">
      <text>
        <r>
          <rPr>
            <b/>
            <sz val="9"/>
            <color indexed="81"/>
            <rFont val="돋움"/>
            <family val="3"/>
            <charset val="129"/>
          </rPr>
          <t xml:space="preserve">발동주기마다 이펙트가 발생한다.
예)도트힐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B48" authorId="0" shape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B49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C49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B50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E50" authorId="0" shapeId="0">
      <text>
        <r>
          <rPr>
            <b/>
            <sz val="9"/>
            <color indexed="81"/>
            <rFont val="돋움"/>
            <family val="3"/>
            <charset val="129"/>
          </rPr>
          <t>목표에 효과가 전해진 최초순간에 발생하는 이펙트</t>
        </r>
      </text>
    </comment>
    <comment ref="B51" authorId="0" shape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C51" authorId="0" shapeId="0">
      <text>
        <r>
          <rPr>
            <b/>
            <sz val="9"/>
            <color indexed="81"/>
            <rFont val="돋움"/>
            <family val="3"/>
            <charset val="129"/>
          </rPr>
          <t>효과가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나타날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
루핑될수도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한번만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플레이되고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끝날수도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</t>
        </r>
        <r>
          <rPr>
            <b/>
            <sz val="9"/>
            <color indexed="81"/>
            <rFont val="Tahoma"/>
            <family val="2"/>
          </rPr>
          <t>.(ex:</t>
        </r>
        <r>
          <rPr>
            <b/>
            <sz val="9"/>
            <color indexed="81"/>
            <rFont val="돋움"/>
            <family val="3"/>
            <charset val="129"/>
          </rPr>
          <t>파이어볼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불바다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F51" authorId="0" shapeId="0">
      <text>
        <r>
          <rPr>
            <sz val="9"/>
            <color indexed="81"/>
            <rFont val="돋움"/>
            <family val="3"/>
            <charset val="129"/>
          </rPr>
          <t xml:space="preserve">메테오가 땅에 떨어지는순간의 타점에 효과가 시전된다. 발사체가 날아가서 도착하는것을 타점으로 대체한것.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2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C54" authorId="0" shapeId="0">
      <text>
        <r>
          <rPr>
            <sz val="9"/>
            <color indexed="81"/>
            <rFont val="돋움"/>
            <family val="3"/>
            <charset val="129"/>
          </rPr>
          <t>버프가 걸려있는 동안 적을 때릴때마다 상대의 체력을 흡수한다.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54" authorId="0" shapeId="0">
      <text>
        <r>
          <rPr>
            <b/>
            <sz val="9"/>
            <color indexed="81"/>
            <rFont val="돋움"/>
            <family val="3"/>
            <charset val="129"/>
          </rPr>
          <t>독화살을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발사하여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맞으면</t>
        </r>
        <r>
          <rPr>
            <b/>
            <sz val="9"/>
            <color indexed="81"/>
            <rFont val="Tahoma"/>
            <family val="2"/>
          </rPr>
          <t xml:space="preserve"> 100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데미지를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입히며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동시에</t>
        </r>
        <r>
          <rPr>
            <b/>
            <sz val="9"/>
            <color indexed="81"/>
            <rFont val="Tahoma"/>
            <family val="2"/>
          </rPr>
          <t xml:space="preserve"> 10</t>
        </r>
        <r>
          <rPr>
            <b/>
            <sz val="9"/>
            <color indexed="81"/>
            <rFont val="돋움"/>
            <family val="3"/>
            <charset val="129"/>
          </rPr>
          <t>초간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독구름이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영역으로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들어오면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초짜리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독디버프가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걸린다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C55" authorId="0" shapeId="0">
      <text>
        <r>
          <rPr>
            <b/>
            <sz val="9"/>
            <color indexed="81"/>
            <rFont val="돋움"/>
            <family val="3"/>
            <charset val="129"/>
          </rPr>
          <t>자신에게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</t>
        </r>
      </text>
    </comment>
    <comment ref="C58" authorId="0" shapeId="0">
      <text>
        <r>
          <rPr>
            <sz val="9"/>
            <color indexed="81"/>
            <rFont val="돋움"/>
            <family val="3"/>
            <charset val="129"/>
          </rPr>
          <t>시전대상도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타겟자신이므로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생략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59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버프받을사람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이다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E59" authorId="0" shapeId="0">
      <text>
        <r>
          <rPr>
            <b/>
            <sz val="9"/>
            <color indexed="81"/>
            <rFont val="돋움"/>
            <family val="3"/>
            <charset val="129"/>
          </rPr>
          <t>효과가 두가지임</t>
        </r>
      </text>
    </comment>
    <comment ref="C60" authorId="0" shapeId="0">
      <text>
        <r>
          <rPr>
            <b/>
            <sz val="9"/>
            <color indexed="81"/>
            <rFont val="돋움"/>
            <family val="3"/>
            <charset val="129"/>
          </rPr>
          <t>발동시점 파라메터
즉시: 스킬이 시전되는 즉시 발동한다. 지속시간이 없는 스킬의 디폴트 값이다.
계속: 버프객체가 지속되는 동안 매프레임 발동대상자에게 효과를 적용한다. 지속시간이 있는 스킬의 디폴트 값이다.
주기적: 버프객체가 지속되는동안 주기적으로 발동대상자에게 효과를 적용한다. "발동주기"를 입력했다면 자동으로 발동시점은 "주기적"이 된다.
타격시: 시전대상자가 다른 개체를 타격시 발동대상에게 발동된다.
피격시: 시전대상자가 피격시 발동대상에게 발동된다.</t>
        </r>
      </text>
    </comment>
    <comment ref="C61" authorId="0" shapeId="0">
      <text>
        <r>
          <rPr>
            <b/>
            <sz val="9"/>
            <color indexed="81"/>
            <rFont val="돋움"/>
            <family val="3"/>
            <charset val="129"/>
          </rPr>
          <t>피격자는 피가 깎이고 공격자는 피를 흡수해야 하므로 효과 블록을 두개로 해서 발동대상을 두개로 해야 한다.</t>
        </r>
      </text>
    </comment>
    <comment ref="D61" authorId="0" shape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C62" authorId="0" shape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D62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C63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발동대상우호는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E66" authorId="0" shapeId="0">
      <text>
        <r>
          <rPr>
            <b/>
            <sz val="9"/>
            <color indexed="81"/>
            <rFont val="돋움"/>
            <family val="3"/>
            <charset val="129"/>
          </rPr>
          <t>목표에 효과가 전해진 최초순간에 발생하는 이펙트</t>
        </r>
      </text>
    </comment>
    <comment ref="C67" authorId="0" shapeId="0">
      <text>
        <r>
          <rPr>
            <sz val="9"/>
            <color indexed="81"/>
            <rFont val="돋움"/>
            <family val="3"/>
            <charset val="129"/>
          </rPr>
          <t>스킬모션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C69" authorId="0" shapeId="0">
      <text>
        <r>
          <rPr>
            <b/>
            <sz val="9"/>
            <color indexed="81"/>
            <rFont val="돋움"/>
            <family val="3"/>
            <charset val="129"/>
          </rPr>
          <t>효과가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나타날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
루핑될수도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한번만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플레이되고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끝날수도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</t>
        </r>
        <r>
          <rPr>
            <b/>
            <sz val="9"/>
            <color indexed="81"/>
            <rFont val="Tahoma"/>
            <family val="2"/>
          </rPr>
          <t>.(ex:</t>
        </r>
        <r>
          <rPr>
            <b/>
            <sz val="9"/>
            <color indexed="81"/>
            <rFont val="돋움"/>
            <family val="3"/>
            <charset val="129"/>
          </rPr>
          <t>파이어볼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불바다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C70" authorId="0" shapeId="0">
      <text>
        <r>
          <rPr>
            <b/>
            <sz val="9"/>
            <color indexed="81"/>
            <rFont val="돋움"/>
            <family val="3"/>
            <charset val="129"/>
          </rPr>
          <t>때릴때마다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되는것이므로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발동이펙트로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피흡수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슈팅이펙트는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공격모션의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타점이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스킬모션의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타점임을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주의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72" authorId="0" shapeId="0">
      <text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자리에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초간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지속되는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화염지대가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생성되어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초마다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입힌다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버프효과는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초간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지속된다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2" authorId="0" shapeId="0">
      <text>
        <r>
          <rPr>
            <sz val="9"/>
            <color indexed="81"/>
            <rFont val="돋움"/>
            <family val="3"/>
            <charset val="129"/>
          </rPr>
          <t>자신에게 시전 주변의 적에게 1초마다 데미지를 입힌다.</t>
        </r>
      </text>
    </comment>
    <comment ref="F72" authorId="0" shapeId="0">
      <text>
        <r>
          <rPr>
            <sz val="9"/>
            <color indexed="81"/>
            <rFont val="돋움"/>
            <family val="3"/>
            <charset val="129"/>
          </rPr>
          <t>자신에게 시전 주변의 적에게 1초마다 데미지를 입힌다.</t>
        </r>
      </text>
    </comment>
    <comment ref="G72" authorId="0" shapeId="0">
      <text>
        <r>
          <rPr>
            <sz val="9"/>
            <color indexed="81"/>
            <rFont val="돋움"/>
            <family val="3"/>
            <charset val="129"/>
          </rPr>
          <t>한번 회전을 하여 주변의 적에게 피해를 입힌다.</t>
        </r>
      </text>
    </comment>
    <comment ref="C73" authorId="0" shapeId="0">
      <text>
        <r>
          <rPr>
            <b/>
            <sz val="9"/>
            <color indexed="81"/>
            <rFont val="돋움"/>
            <family val="3"/>
            <charset val="129"/>
          </rPr>
          <t>자신에게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</t>
        </r>
      </text>
    </comment>
    <comment ref="D74" authorId="0" shapeId="0">
      <text>
        <r>
          <rPr>
            <b/>
            <sz val="9"/>
            <color indexed="81"/>
            <rFont val="돋움"/>
            <family val="3"/>
            <charset val="129"/>
          </rPr>
          <t>좌표는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없으므로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무시됨</t>
        </r>
      </text>
    </comment>
    <comment ref="G75" authorId="0" shapeId="0">
      <text>
        <r>
          <rPr>
            <b/>
            <sz val="9"/>
            <color indexed="81"/>
            <rFont val="돋움"/>
            <family val="3"/>
            <charset val="129"/>
          </rPr>
          <t xml:space="preserve">오라의 경우 효과를 받는 대상은 주변이지만 실제 버프를 갖는 객체는 자신뿐이기 때문에 시전대상은 오직 타겟이 된다. </t>
        </r>
      </text>
    </comment>
    <comment ref="C76" authorId="0" shapeId="0">
      <text>
        <r>
          <rPr>
            <sz val="9"/>
            <color indexed="81"/>
            <rFont val="돋움"/>
            <family val="3"/>
            <charset val="129"/>
          </rPr>
          <t>시전대상도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타겟자신이므로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생략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7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버프받을사람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이다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D77" authorId="0" shapeId="0">
      <text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일직선</t>
        </r>
        <r>
          <rPr>
            <b/>
            <sz val="9"/>
            <color indexed="81"/>
            <rFont val="Tahoma"/>
            <family val="2"/>
          </rPr>
          <t xml:space="preserve">" </t>
        </r>
        <r>
          <rPr>
            <b/>
            <sz val="9"/>
            <color indexed="81"/>
            <rFont val="돋움"/>
            <family val="3"/>
            <charset val="129"/>
          </rPr>
          <t>같은걸로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발사체가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떨어지고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떨어진지점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기준타겟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시작점으로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길게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데미지를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입힐수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있을듯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G77" authorId="0" shapeId="0">
      <text>
        <r>
          <rPr>
            <sz val="9"/>
            <color indexed="81"/>
            <rFont val="돋움"/>
            <family val="3"/>
            <charset val="129"/>
          </rPr>
          <t>현재로선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발동대상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용도가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애매함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발동범위와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발동대상우호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시전대상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되기때문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78" authorId="0" shapeId="0">
      <text>
        <r>
          <rPr>
            <sz val="9"/>
            <color indexed="81"/>
            <rFont val="돋움"/>
            <family val="3"/>
            <charset val="129"/>
          </rPr>
          <t>여기서 "적"은 시전자 기준 적이된다. 바닥은 우호가 없으므로 타겟기준으로 우호를 따질수는 없다.</t>
        </r>
      </text>
    </comment>
    <comment ref="D79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C80" authorId="0" shape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G80" authorId="0" shapeId="0">
      <text>
        <r>
          <rPr>
            <b/>
            <sz val="9"/>
            <color indexed="81"/>
            <rFont val="돋움"/>
            <family val="3"/>
            <charset val="129"/>
          </rPr>
          <t>버프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오라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객체가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살아있는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</text>
    </comment>
    <comment ref="G81" authorId="0" shapeId="0">
      <text>
        <r>
          <rPr>
            <b/>
            <sz val="9"/>
            <color indexed="81"/>
            <rFont val="돋움"/>
            <family val="3"/>
            <charset val="129"/>
          </rPr>
          <t>지속시간동안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영역내로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보는것이므로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발동주기는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82" authorId="0" shapeId="0">
      <text>
        <r>
          <rPr>
            <b/>
            <sz val="9"/>
            <color indexed="81"/>
            <rFont val="돋움"/>
            <family val="3"/>
            <charset val="129"/>
          </rPr>
          <t>재귀적으로 UseSkill안에서 다시 useSkill(용암덩어리)를 호출한다.
호출시 발동대상(피격자)의 좌표가 넘어간다.</t>
        </r>
      </text>
    </comment>
    <comment ref="G82" authorId="0" shape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C83" authorId="0" shapeId="0">
      <text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의미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용암의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아님</t>
        </r>
      </text>
    </comment>
    <comment ref="G83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G84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G85" authorId="0" shape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C86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G86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G87" authorId="0" shapeId="0">
      <text>
        <r>
          <rPr>
            <sz val="9"/>
            <color indexed="81"/>
            <rFont val="돋움"/>
            <family val="3"/>
            <charset val="129"/>
          </rPr>
          <t>한번 회전을 하여 주변의 적에게 피해를 입힌다.</t>
        </r>
      </text>
    </comment>
    <comment ref="C88" authorId="0" shapeId="0">
      <text>
        <r>
          <rPr>
            <b/>
            <sz val="9"/>
            <color indexed="81"/>
            <rFont val="돋움"/>
            <family val="3"/>
            <charset val="129"/>
          </rPr>
          <t>효과가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나타날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
루핑될수도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한번만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플레이되고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끝날수도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</t>
        </r>
        <r>
          <rPr>
            <b/>
            <sz val="9"/>
            <color indexed="81"/>
            <rFont val="Tahoma"/>
            <family val="2"/>
          </rPr>
          <t>.(ex:</t>
        </r>
        <r>
          <rPr>
            <b/>
            <sz val="9"/>
            <color indexed="81"/>
            <rFont val="돋움"/>
            <family val="3"/>
            <charset val="129"/>
          </rPr>
          <t>파이어볼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불바다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C90" authorId="0" shapeId="0">
      <text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용암타격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지속이펙트의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종속성이므로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이경우는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지속이펙트가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따라다녀야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하므로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없음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해야한다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G91" authorId="0" shapeId="0">
      <text>
        <r>
          <rPr>
            <b/>
            <sz val="9"/>
            <color indexed="81"/>
            <rFont val="돋움"/>
            <family val="3"/>
            <charset val="129"/>
          </rPr>
          <t>기준타겟을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중심으로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객체를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걸러낼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
따로지정하지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원형이된다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C92" authorId="0" shapeId="0">
      <text>
        <r>
          <rPr>
            <b/>
            <sz val="9"/>
            <color indexed="81"/>
            <rFont val="돋움"/>
            <family val="3"/>
            <charset val="129"/>
          </rPr>
          <t>발동대상자(피격자)의 좌표가 넘어와 그것을 사용함.
기준타겟이 좌표이면 시전대상은 자동으로 기준타겟주변으로 설정된다.</t>
        </r>
      </text>
    </comment>
    <comment ref="D94" authorId="0" shapeId="0">
      <text>
        <r>
          <rPr>
            <b/>
            <sz val="9"/>
            <color indexed="81"/>
            <rFont val="돋움"/>
            <family val="3"/>
            <charset val="129"/>
          </rPr>
          <t>메테오나 화살비 같은 효과는 발사체라는 개념이 모호하므로 타겟이펙트의 타점에서 발동을 시키는것으로 한다.</t>
        </r>
      </text>
    </comment>
    <comment ref="C95" authorId="0" shapeId="0">
      <text>
        <r>
          <rPr>
            <sz val="9"/>
            <color indexed="81"/>
            <rFont val="돋움"/>
            <family val="3"/>
            <charset val="129"/>
          </rPr>
          <t>시전대상도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타겟자신이므로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생략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6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버프받을사람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이다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D96" authorId="0" shape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D97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E97" authorId="0" shape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97" authorId="0" shape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97" authorId="0" shape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G98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C99" authorId="0" shape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G99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G100" authorId="0" shape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C101" authorId="0" shapeId="0">
      <text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의미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용암의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아님</t>
        </r>
      </text>
    </comment>
    <comment ref="F101" authorId="0" shapeId="0">
      <text>
        <r>
          <rPr>
            <sz val="9"/>
            <color indexed="81"/>
            <rFont val="돋움"/>
            <family val="3"/>
            <charset val="129"/>
          </rPr>
          <t>한번 회전을 하여 주변의 적에게 피해를 입힌다.</t>
        </r>
      </text>
    </comment>
    <comment ref="G101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H101" authorId="0" shapeId="0">
      <text>
        <r>
          <rPr>
            <b/>
            <sz val="9"/>
            <color indexed="81"/>
            <rFont val="돋움"/>
            <family val="3"/>
            <charset val="129"/>
          </rPr>
          <t>오라객체 반경내에 들어가면 효과가 적용되고 벗어나는즉시 효과가 없어지는 류</t>
        </r>
      </text>
    </comment>
    <comment ref="C104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F104" authorId="0" shapeId="0">
      <text>
        <r>
          <rPr>
            <b/>
            <sz val="9"/>
            <color indexed="81"/>
            <rFont val="돋움"/>
            <family val="3"/>
            <charset val="129"/>
          </rPr>
          <t xml:space="preserve">오라의 경우 효과를 받는 대상은 주변이지만 실제 버프를 갖는 객체는 자신뿐이기 때문에 시전대상은 오직 타겟이 된다. </t>
        </r>
      </text>
    </comment>
    <comment ref="H104" authorId="0" shapeId="0">
      <text>
        <r>
          <rPr>
            <b/>
            <sz val="9"/>
            <color indexed="81"/>
            <rFont val="돋움"/>
            <family val="3"/>
            <charset val="129"/>
          </rPr>
          <t>타겟에만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걸림</t>
        </r>
      </text>
    </comment>
    <comment ref="D105" authorId="0" shapeId="0">
      <text>
        <r>
          <rPr>
            <sz val="9"/>
            <color indexed="81"/>
            <rFont val="돋움"/>
            <family val="3"/>
            <charset val="129"/>
          </rPr>
          <t xml:space="preserve">메테오가 땅에 떨어지는순간의 타점에 효과가 시전된다. 발사체가 날아가서 도착하는것을 타점으로 대체한것.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5" authorId="0" shapeId="0">
      <text>
        <r>
          <rPr>
            <b/>
            <sz val="9"/>
            <color indexed="81"/>
            <rFont val="돋움"/>
            <family val="3"/>
            <charset val="129"/>
          </rPr>
          <t>효과지속시간동안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버프측에서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발동시킬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</t>
        </r>
      </text>
    </comment>
    <comment ref="C106" authorId="0" shapeId="0">
      <text>
        <r>
          <rPr>
            <b/>
            <sz val="9"/>
            <color indexed="81"/>
            <rFont val="돋움"/>
            <family val="3"/>
            <charset val="129"/>
          </rPr>
          <t>효과가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나타날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
루핑될수도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한번만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플레이되고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끝날수도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</t>
        </r>
        <r>
          <rPr>
            <b/>
            <sz val="9"/>
            <color indexed="81"/>
            <rFont val="Tahoma"/>
            <family val="2"/>
          </rPr>
          <t>.(ex:</t>
        </r>
        <r>
          <rPr>
            <b/>
            <sz val="9"/>
            <color indexed="81"/>
            <rFont val="돋움"/>
            <family val="3"/>
            <charset val="129"/>
          </rPr>
          <t>파이어볼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불바다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F106" authorId="0" shapeId="0">
      <text>
        <r>
          <rPr>
            <sz val="9"/>
            <color indexed="81"/>
            <rFont val="돋움"/>
            <family val="3"/>
            <charset val="129"/>
          </rPr>
          <t>현재로선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발동대상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용도가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애매함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발동범위와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발동대상우호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시전대상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되기때문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7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시전대상은 지속시간동안 계속 보정을 유지하고 발동범위내 발동대상들은 인스턴트 버프를 받아 보정을 한다.</t>
        </r>
      </text>
    </comment>
    <comment ref="C108" authorId="0" shapeId="0">
      <text>
        <r>
          <rPr>
            <sz val="9"/>
            <color indexed="81"/>
            <rFont val="돋움"/>
            <family val="3"/>
            <charset val="129"/>
          </rPr>
          <t>지속이펙트는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시전대상에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붙는것이며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시전대상은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좌표이므로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지속이펙트는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시전대상에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종속되지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않는다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108" authorId="0" shapeId="0">
      <text>
        <r>
          <rPr>
            <b/>
            <sz val="9"/>
            <color indexed="81"/>
            <rFont val="돋움"/>
            <family val="3"/>
            <charset val="129"/>
          </rPr>
          <t>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때릴때마다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공격자는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피해를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입는다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F109" authorId="0" shapeId="0">
      <text>
        <r>
          <rPr>
            <b/>
            <sz val="9"/>
            <color indexed="81"/>
            <rFont val="돋움"/>
            <family val="3"/>
            <charset val="129"/>
          </rPr>
          <t>버프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오라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객체가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살아있는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</text>
    </comment>
    <comment ref="F110" authorId="0" shapeId="0">
      <text>
        <r>
          <rPr>
            <b/>
            <sz val="9"/>
            <color indexed="81"/>
            <rFont val="돋움"/>
            <family val="3"/>
            <charset val="129"/>
          </rPr>
          <t>지속시간동안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영역내로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보는것이므로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발동주기는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D111" authorId="0" shapeId="0">
      <text>
        <r>
          <rPr>
            <b/>
            <sz val="9"/>
            <color indexed="81"/>
            <rFont val="돋움"/>
            <family val="3"/>
            <charset val="129"/>
          </rPr>
          <t>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때릴때마다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공격자는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피해를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입는다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F111" authorId="0" shape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F112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F113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F114" authorId="0" shape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F115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F116" authorId="0" shapeId="0">
      <text>
        <r>
          <rPr>
            <sz val="9"/>
            <color indexed="81"/>
            <rFont val="돋움"/>
            <family val="3"/>
            <charset val="129"/>
          </rPr>
          <t>한번 회전을 하여 주변의 적에게 피해를 입힌다.</t>
        </r>
      </text>
    </comment>
    <comment ref="H116" authorId="0" shapeId="0">
      <text>
        <r>
          <rPr>
            <b/>
            <sz val="9"/>
            <color indexed="81"/>
            <rFont val="돋움"/>
            <family val="3"/>
            <charset val="129"/>
          </rPr>
          <t>오라객체 반경내에 들어가면 효과가 적용되고 벗어나는즉시 효과가 없어지는 류</t>
        </r>
      </text>
    </comment>
    <comment ref="H119" authorId="0" shapeId="0">
      <text>
        <r>
          <rPr>
            <b/>
            <sz val="9"/>
            <color indexed="81"/>
            <rFont val="돋움"/>
            <family val="3"/>
            <charset val="129"/>
          </rPr>
          <t>타겟에만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걸림</t>
        </r>
      </text>
    </comment>
    <comment ref="F120" authorId="0" shapeId="0">
      <text>
        <r>
          <rPr>
            <b/>
            <sz val="9"/>
            <color indexed="81"/>
            <rFont val="돋움"/>
            <family val="3"/>
            <charset val="129"/>
          </rPr>
          <t>기준타겟을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중심으로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객체를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걸러낼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
따로지정하지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원형이된다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H120" authorId="0" shapeId="0">
      <text>
        <r>
          <rPr>
            <b/>
            <sz val="9"/>
            <color indexed="81"/>
            <rFont val="돋움"/>
            <family val="3"/>
            <charset val="129"/>
          </rPr>
          <t>효과지속시간동안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버프측에서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발동시킬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</t>
        </r>
      </text>
    </comment>
    <comment ref="H122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시전대상은 지속시간동안 계속 보정을 유지하고 발동범위내 발동대상들은 인스턴트 버프를 받아 보정을 한다.</t>
        </r>
      </text>
    </comment>
    <comment ref="F126" authorId="0" shape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F127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F128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F129" authorId="0" shape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F130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E136" authorId="0" shape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F136" authorId="0" shape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E137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F137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E145" authorId="0" shapeId="0">
      <text>
        <r>
          <rPr>
            <sz val="9"/>
            <color indexed="81"/>
            <rFont val="돋움"/>
            <family val="3"/>
            <charset val="129"/>
          </rPr>
          <t xml:space="preserve">메테오가 땅에 떨어지는순간의 타점에 효과가 시전된다. 발사체가 날아가서 도착하는것을 타점으로 대체한것.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45" authorId="0" shapeId="0">
      <text>
        <r>
          <rPr>
            <sz val="9"/>
            <color indexed="81"/>
            <rFont val="돋움"/>
            <family val="3"/>
            <charset val="129"/>
          </rPr>
          <t xml:space="preserve">메테오가 땅에 떨어지는순간의 타점에 효과가 시전된다. 발사체가 날아가서 도착하는것을 타점으로 대체한것.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1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시전대상은 지속시간동안 계속 보정을 유지하고 발동범위내 발동대상들은 인스턴트 버프를 받아 보정을 한다.</t>
        </r>
      </text>
    </comment>
    <comment ref="H201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시전대상은 지속시간동안 계속 보정을 유지하고 발동범위내 발동대상들은 인스턴트 버프를 받아 보정을 한다.</t>
        </r>
      </text>
    </comment>
  </commentList>
</comments>
</file>

<file path=xl/sharedStrings.xml><?xml version="1.0" encoding="utf-8"?>
<sst xmlns="http://schemas.openxmlformats.org/spreadsheetml/2006/main" count="972" uniqueCount="707">
  <si>
    <t>시전대상</t>
    <phoneticPr fontId="1" type="noConversion"/>
  </si>
  <si>
    <t>시전방식</t>
    <phoneticPr fontId="1" type="noConversion"/>
  </si>
  <si>
    <t>패시브</t>
    <phoneticPr fontId="1" type="noConversion"/>
  </si>
  <si>
    <t>액티브</t>
    <phoneticPr fontId="1" type="noConversion"/>
  </si>
  <si>
    <t>텍스트번호</t>
    <phoneticPr fontId="1" type="noConversion"/>
  </si>
  <si>
    <t>설명</t>
    <phoneticPr fontId="1" type="noConversion"/>
  </si>
  <si>
    <t>아이콘</t>
    <phoneticPr fontId="1" type="noConversion"/>
  </si>
  <si>
    <t>문자열</t>
    <phoneticPr fontId="1" type="noConversion"/>
  </si>
  <si>
    <t>png파일명</t>
    <phoneticPr fontId="1" type="noConversion"/>
  </si>
  <si>
    <t>효과</t>
    <phoneticPr fontId="1" type="noConversion"/>
  </si>
  <si>
    <t>타겟바닥</t>
    <phoneticPr fontId="1" type="noConversion"/>
  </si>
  <si>
    <t>구현안됨</t>
    <phoneticPr fontId="1" type="noConversion"/>
  </si>
  <si>
    <t>시전대상우호</t>
    <phoneticPr fontId="1" type="noConversion"/>
  </si>
  <si>
    <t>적, 적군</t>
    <phoneticPr fontId="1" type="noConversion"/>
  </si>
  <si>
    <t>아군, 우군</t>
    <phoneticPr fontId="1" type="noConversion"/>
  </si>
  <si>
    <t xml:space="preserve">시전대상을 필터링 할때 시전자와의 우호관계를 비교하기 위해 사용한다. </t>
    <phoneticPr fontId="1" type="noConversion"/>
  </si>
  <si>
    <t>시전자를 기준으로 적에게만 사용될수있는 스킬이다</t>
    <phoneticPr fontId="1" type="noConversion"/>
  </si>
  <si>
    <t>시전자를 기준으로 같은편에게만 사용될 수 있는 스킬이다</t>
    <phoneticPr fontId="1" type="noConversion"/>
  </si>
  <si>
    <t>시전자이펙트</t>
    <phoneticPr fontId="1" type="noConversion"/>
  </si>
  <si>
    <t>spr파일명</t>
    <phoneticPr fontId="1" type="noConversion"/>
  </si>
  <si>
    <t>시전자이펙트는 오직 단한번만 플레이 된다.</t>
    <phoneticPr fontId="1" type="noConversion"/>
  </si>
  <si>
    <t>시전자이펙트생성지점</t>
    <phoneticPr fontId="1" type="noConversion"/>
  </si>
  <si>
    <t>타겟중심</t>
    <phoneticPr fontId="1" type="noConversion"/>
  </si>
  <si>
    <t>타겟머리</t>
    <phoneticPr fontId="1" type="noConversion"/>
  </si>
  <si>
    <t>액션이벤트</t>
    <phoneticPr fontId="1" type="noConversion"/>
  </si>
  <si>
    <t>윈도우중앙</t>
    <phoneticPr fontId="1" type="noConversion"/>
  </si>
  <si>
    <t>윈도우중앙하단</t>
    <phoneticPr fontId="1" type="noConversion"/>
  </si>
  <si>
    <t>구현되지 않음</t>
    <phoneticPr fontId="1" type="noConversion"/>
  </si>
  <si>
    <t>시전자의 바닥에 생성된다</t>
    <phoneticPr fontId="1" type="noConversion"/>
  </si>
  <si>
    <t>시전자의 중심에 생성된다</t>
    <phoneticPr fontId="1" type="noConversion"/>
  </si>
  <si>
    <t>시전자의 머리위에 생성된다.</t>
    <phoneticPr fontId="1" type="noConversion"/>
  </si>
  <si>
    <t>스킬모션의 액션이벤트에 지정한 위치에에 생성된다.</t>
    <phoneticPr fontId="1" type="noConversion"/>
  </si>
  <si>
    <t>게임윈도우의 중앙하단을 기준좌표로 생성된다.</t>
    <phoneticPr fontId="1" type="noConversion"/>
  </si>
  <si>
    <t>시전자이펙트가 생성되는 위치를 지정한다.</t>
    <phoneticPr fontId="1" type="noConversion"/>
  </si>
  <si>
    <t>실수형</t>
    <phoneticPr fontId="1" type="noConversion"/>
  </si>
  <si>
    <t>지속시간</t>
    <phoneticPr fontId="1" type="noConversion"/>
  </si>
  <si>
    <t>시전사운드</t>
    <phoneticPr fontId="1" type="noConversion"/>
  </si>
  <si>
    <t>발동대상</t>
    <phoneticPr fontId="1" type="noConversion"/>
  </si>
  <si>
    <t>시전대상이 스킬을 받으면 스킬에 지정된 스킬효과가 누구에게 발동될것인지를 지정한다.</t>
    <phoneticPr fontId="1" type="noConversion"/>
  </si>
  <si>
    <t>시전대상자의 반경내 객체들이 대상이 된다. 범위는 "발동범위"에서 지정한 범위를 사용한다.</t>
    <phoneticPr fontId="1" type="noConversion"/>
  </si>
  <si>
    <t>발동대상우호</t>
    <phoneticPr fontId="1" type="noConversion"/>
  </si>
  <si>
    <t xml:space="preserve">발동대상을 필터링 할때 시전자와의 우호관계를 비교하기 위해 사용한다. </t>
    <phoneticPr fontId="1" type="noConversion"/>
  </si>
  <si>
    <t>발동시점</t>
    <phoneticPr fontId="1" type="noConversion"/>
  </si>
  <si>
    <t xml:space="preserve">디폴트값이다. 스킬을 시전하여 시전대상이 스킬을 받는순간 효과가 발동된다. </t>
    <phoneticPr fontId="1" type="noConversion"/>
  </si>
  <si>
    <t>지속발동</t>
    <phoneticPr fontId="1" type="noConversion"/>
  </si>
  <si>
    <t>근접피격시</t>
    <phoneticPr fontId="1" type="noConversion"/>
  </si>
  <si>
    <t>시전대상자가 어떤 적으로부터 근접공격을 당했을때 스킬효과가 발동된다.</t>
    <phoneticPr fontId="1" type="noConversion"/>
  </si>
  <si>
    <t>원거리피격시</t>
    <phoneticPr fontId="1" type="noConversion"/>
  </si>
  <si>
    <t>사망시</t>
    <phoneticPr fontId="1" type="noConversion"/>
  </si>
  <si>
    <t>정수형</t>
    <phoneticPr fontId="1" type="noConversion"/>
  </si>
  <si>
    <t>시전대상이 스킬(버프)을 받고 실제 스킬효과가 언제 발동이 되는지를 지정한다.</t>
    <phoneticPr fontId="1" type="noConversion"/>
  </si>
  <si>
    <t>스킬효과가 발동이 될때 특정 다른스킬이 그 대상에게 발동되게 할 수도있다. 검으로 내려칠때 라이트닝 스킬이 발동이 된다거나. 디버프로 정의된 스킬을 걸리게 할 수도 있다.</t>
    <phoneticPr fontId="1" type="noConversion"/>
  </si>
  <si>
    <t>실수형(백분율)</t>
    <phoneticPr fontId="1" type="noConversion"/>
  </si>
  <si>
    <t>공격력보정</t>
    <phoneticPr fontId="1" type="noConversion"/>
  </si>
  <si>
    <t>방어력보정</t>
    <phoneticPr fontId="1" type="noConversion"/>
  </si>
  <si>
    <t>최대체력보정</t>
    <phoneticPr fontId="1" type="noConversion"/>
  </si>
  <si>
    <t>체력리젠속도보정</t>
    <phoneticPr fontId="1" type="noConversion"/>
  </si>
  <si>
    <t>이속보정</t>
    <phoneticPr fontId="1" type="noConversion"/>
  </si>
  <si>
    <t>공속보정</t>
    <phoneticPr fontId="1" type="noConversion"/>
  </si>
  <si>
    <t>지원안함</t>
    <phoneticPr fontId="1" type="noConversion"/>
  </si>
  <si>
    <t>힐량보정</t>
    <phoneticPr fontId="1" type="noConversion"/>
  </si>
  <si>
    <t>받는힐량보정</t>
    <phoneticPr fontId="1" type="noConversion"/>
  </si>
  <si>
    <t>스킬파워보정</t>
    <phoneticPr fontId="1" type="noConversion"/>
  </si>
  <si>
    <t>대상에게 버프나 디버프효과를 줄때 사용하는 파라메터. "발동"이 될때 발동대상에게 적용되는 효과다. "시전"이 될때 적용됨이 아님을 주의한다. 예를들어 공격력을 증가시키고 싶다면 파라메터는 "공격력보정"을 사용한다.</t>
    <phoneticPr fontId="1" type="noConversion"/>
  </si>
  <si>
    <t>%실수형</t>
    <phoneticPr fontId="1" type="noConversion"/>
  </si>
  <si>
    <t>#실수형</t>
    <phoneticPr fontId="1" type="noConversion"/>
  </si>
  <si>
    <t>!실수형</t>
    <phoneticPr fontId="1" type="noConversion"/>
  </si>
  <si>
    <t>발동파라메터로 보정될 파라메터 종류를 지정하고 실제 보정될 수치를 이 파라메터로 조정한다.  
능력치값에는 연산기호도 함께 넣어야 하는데 연산기호는 비율형(%), 고정형(#), 강제형(!) 세가지가 있다.
예) 공격력 %30증가
발동파라메터  공격력보정
능력치 %30
예) 방어력 20하락
발동파라메터 방어력보정
능력치 #-20
예) 체력을 1로 만듬
발동파라메터 체력
능력치 !1</t>
    <phoneticPr fontId="1" type="noConversion"/>
  </si>
  <si>
    <t>체력</t>
    <phoneticPr fontId="1" type="noConversion"/>
  </si>
  <si>
    <t>대상의 현재 체력을 가감시킨다. 이것은 보정치가 아니다. 데미지나 힐을 표현할때 사용한다.</t>
    <phoneticPr fontId="1" type="noConversion"/>
  </si>
  <si>
    <t>중독</t>
    <phoneticPr fontId="1" type="noConversion"/>
  </si>
  <si>
    <t>넉백</t>
    <phoneticPr fontId="1" type="noConversion"/>
  </si>
  <si>
    <t>혼란</t>
    <phoneticPr fontId="1" type="noConversion"/>
  </si>
  <si>
    <t>스턴</t>
    <phoneticPr fontId="1" type="noConversion"/>
  </si>
  <si>
    <t>화염</t>
    <phoneticPr fontId="1" type="noConversion"/>
  </si>
  <si>
    <t>너프</t>
    <phoneticPr fontId="1" type="noConversion"/>
  </si>
  <si>
    <t>해제</t>
    <phoneticPr fontId="1" type="noConversion"/>
  </si>
  <si>
    <t>각성</t>
    <phoneticPr fontId="1" type="noConversion"/>
  </si>
  <si>
    <t>무적</t>
    <phoneticPr fontId="1" type="noConversion"/>
  </si>
  <si>
    <t>광폭화</t>
    <phoneticPr fontId="1" type="noConversion"/>
  </si>
  <si>
    <t>대상의 상태를 바꿀때 사용한다. 지속시간동안 지정된 상태를 유지한다.</t>
    <phoneticPr fontId="1" type="noConversion"/>
  </si>
  <si>
    <t>이 상태가 켜져있으면 숨김(hidden)상태의 객체를 발견할 수 있다.</t>
    <phoneticPr fontId="1" type="noConversion"/>
  </si>
  <si>
    <t>이 상태가 켜져있으면 잠김(lock)상태의 객체를 좀더 쉽게 열 수 있다.</t>
    <phoneticPr fontId="1" type="noConversion"/>
  </si>
  <si>
    <t>독 상태가 되면 몸이 녹색으로 바뀐다. 보통 중독상태는 도트데미지를 동반하므로 도트데미지형 파라메터도 함께 입력해야 한다.</t>
    <phoneticPr fontId="1" type="noConversion"/>
  </si>
  <si>
    <t>아이스 상태가 되면 모든 움직임 애니메이션의 속도가 -30%감소된다. 이동속도도 함께 감속된다.</t>
    <phoneticPr fontId="1" type="noConversion"/>
  </si>
  <si>
    <t>넉백은 즉시발동형 효과이므로 지속시간이 필요없다. 캐릭터가 넉백발동이 되면 주어진 "넉백거리"에 따라 뒤로 밀려난다.</t>
    <phoneticPr fontId="1" type="noConversion"/>
  </si>
  <si>
    <t>정립되지 않음.  혼란상태에 빠지면 얼빠진듯이 배회하거나 피아구분없이 아무대상이나 공격한다.</t>
    <phoneticPr fontId="1" type="noConversion"/>
  </si>
  <si>
    <t>기절상태가 되어 공격이나 이동등 아무행동도 할 수 없게 된다.</t>
    <phoneticPr fontId="1" type="noConversion"/>
  </si>
  <si>
    <t>화염상태가 되면 화염sfx가 자동으로 붙게 되며, 인접한 다른 캐릭터에게도 화염이 옮겨붙는속성이 있다. 화염상태 또한 도트데미지를 동반하므로 도트데미지형 파라메터를 함게 넣어준다.</t>
    <phoneticPr fontId="1" type="noConversion"/>
  </si>
  <si>
    <t>정립되지 않음. 모든 스테이터스가 하락한다.</t>
    <phoneticPr fontId="1" type="noConversion"/>
  </si>
  <si>
    <t>모든 데미지에 면역이 된다.</t>
    <phoneticPr fontId="1" type="noConversion"/>
  </si>
  <si>
    <t>시전자이펙트id</t>
    <phoneticPr fontId="1" type="noConversion"/>
  </si>
  <si>
    <t>시전대상자 기준으로 스킬 효과를 발동받을수 있는 반지름 범위를 표기한다. 단위는 미터</t>
    <phoneticPr fontId="1" type="noConversion"/>
  </si>
  <si>
    <t>파라메터</t>
    <phoneticPr fontId="1" type="noConversion"/>
  </si>
  <si>
    <t>속성</t>
    <phoneticPr fontId="1" type="noConversion"/>
  </si>
  <si>
    <t>이름</t>
    <phoneticPr fontId="1" type="noConversion"/>
  </si>
  <si>
    <t>발동스킬</t>
    <phoneticPr fontId="1" type="noConversion"/>
  </si>
  <si>
    <t>발동확률</t>
    <phoneticPr fontId="1" type="noConversion"/>
  </si>
  <si>
    <t>발동파라메터</t>
    <phoneticPr fontId="1" type="noConversion"/>
  </si>
  <si>
    <t>능력치</t>
    <phoneticPr fontId="1" type="noConversion"/>
  </si>
  <si>
    <t>상태발동</t>
    <phoneticPr fontId="1" type="noConversion"/>
  </si>
  <si>
    <t>번호</t>
    <phoneticPr fontId="1" type="noConversion"/>
  </si>
  <si>
    <t>문자열</t>
    <phoneticPr fontId="1" type="noConversion"/>
  </si>
  <si>
    <t>체력리젠양보정</t>
    <phoneticPr fontId="1" type="noConversion"/>
  </si>
  <si>
    <t>찾기</t>
    <phoneticPr fontId="1" type="noConversion"/>
  </si>
  <si>
    <t>시전대상이펙트</t>
    <phoneticPr fontId="1" type="noConversion"/>
  </si>
  <si>
    <t>spr파일명</t>
    <phoneticPr fontId="1" type="noConversion"/>
  </si>
  <si>
    <t>시전대상들 각각이 스킬을 받을때 생기는 sfx를 지정한다.</t>
    <phoneticPr fontId="1" type="noConversion"/>
  </si>
  <si>
    <t>시전대상이펙트id</t>
    <phoneticPr fontId="1" type="noConversion"/>
  </si>
  <si>
    <t>정수형</t>
    <phoneticPr fontId="1" type="noConversion"/>
  </si>
  <si>
    <t>spr파일 액션번호. 따로 지정하지 않으면 기본 1이 된다.</t>
    <phoneticPr fontId="1" type="noConversion"/>
  </si>
  <si>
    <t>spr액션번호. 따로 지정하지 않으면 기본 1이 된다.</t>
    <phoneticPr fontId="1" type="noConversion"/>
  </si>
  <si>
    <t>시전대상이펙트반복</t>
    <phoneticPr fontId="1" type="noConversion"/>
  </si>
  <si>
    <t>한번만</t>
    <phoneticPr fontId="1" type="noConversion"/>
  </si>
  <si>
    <t>반복</t>
    <phoneticPr fontId="1" type="noConversion"/>
  </si>
  <si>
    <t>sfx가 생성되고 지속시간동안 계속 반복된다.</t>
    <phoneticPr fontId="1" type="noConversion"/>
  </si>
  <si>
    <t>sfx가 생성되고 애니메이션이 단 한번만 플레이되고 없어진다. 따로지정하지 않으면 이 옵션으로 결정된다.</t>
    <phoneticPr fontId="1" type="noConversion"/>
  </si>
  <si>
    <t>시전대상이펙트생성지점</t>
    <phoneticPr fontId="1" type="noConversion"/>
  </si>
  <si>
    <t>시전 대상에 생성되는 sfx위치를 지정한다.</t>
    <phoneticPr fontId="1" type="noConversion"/>
  </si>
  <si>
    <t>발동길이</t>
    <phoneticPr fontId="1" type="noConversion"/>
  </si>
  <si>
    <t>발동폭</t>
    <phoneticPr fontId="1" type="noConversion"/>
  </si>
  <si>
    <t>실수형</t>
    <phoneticPr fontId="1" type="noConversion"/>
  </si>
  <si>
    <t>실수형(미터)</t>
    <phoneticPr fontId="1" type="noConversion"/>
  </si>
  <si>
    <t>실수형(미터)</t>
    <phoneticPr fontId="1" type="noConversion"/>
  </si>
  <si>
    <t>발동대상이 "직선"인 경우 직사각형 영역의 길이와 폭을 지정한다. 따로 지정하지 않으면 길이 10미터 폭 1미터가 된다.</t>
    <phoneticPr fontId="1" type="noConversion"/>
  </si>
  <si>
    <t>발동사운드</t>
    <phoneticPr fontId="1" type="noConversion"/>
  </si>
  <si>
    <t>발사체</t>
    <phoneticPr fontId="1" type="noConversion"/>
  </si>
  <si>
    <t>spr파일명</t>
    <phoneticPr fontId="1" type="noConversion"/>
  </si>
  <si>
    <t>스킬 시전방식이 발사체를 타겟에게 쏘아서 타겟에게 도달하면 시전되는 타입이라면 이 옵션에 spr파일명을 지정한다.</t>
    <phoneticPr fontId="1" type="noConversion"/>
  </si>
  <si>
    <t>발사체id</t>
    <phoneticPr fontId="1" type="noConversion"/>
  </si>
  <si>
    <t>정수형</t>
    <phoneticPr fontId="1" type="noConversion"/>
  </si>
  <si>
    <t>spr파일 액션번호. 따로 지정하지 않으면 기본 1이 된다.</t>
    <phoneticPr fontId="1" type="noConversion"/>
  </si>
  <si>
    <t>발사체속도</t>
    <phoneticPr fontId="1" type="noConversion"/>
  </si>
  <si>
    <t>시전자로부터 타겟까지 발사체가 날아가 도달하는 시간을 지정한다. 기본값은 0.6초로 되어있다.</t>
    <phoneticPr fontId="1" type="noConversion"/>
  </si>
  <si>
    <t>모두</t>
    <phoneticPr fontId="1" type="noConversion"/>
  </si>
  <si>
    <t>시전자를 기준으로 적에게만 발동되는 스킬이다</t>
    <phoneticPr fontId="1" type="noConversion"/>
  </si>
  <si>
    <t>시전자를 기준으로 같은편에게만 발동되는 스킬이다</t>
    <phoneticPr fontId="1" type="noConversion"/>
  </si>
  <si>
    <t>아군,적군,중립 가리지않고 모든 객체를 대상으로 발동되는 스킬이다</t>
    <phoneticPr fontId="1" type="noConversion"/>
  </si>
  <si>
    <t>아군,적군 가리지않고 모든 객체를 대상으로 사용될 수 있는 스킬이다</t>
    <phoneticPr fontId="1" type="noConversion"/>
  </si>
  <si>
    <t>타겟이펙트반복</t>
  </si>
  <si>
    <t>타겟의 머리위에 생성된다.</t>
  </si>
  <si>
    <t>타겟이펙트id</t>
  </si>
  <si>
    <t>타겟이펙트생성지점</t>
  </si>
  <si>
    <t>타겟의 중심에 생성된다</t>
  </si>
  <si>
    <t>타겟이펙트</t>
    <phoneticPr fontId="1" type="noConversion"/>
  </si>
  <si>
    <t>타겟에게 생기는 sfx를 지정한다.</t>
    <phoneticPr fontId="1" type="noConversion"/>
  </si>
  <si>
    <t>타겟에 생성되는 sfx위치를 지정한다.</t>
    <phoneticPr fontId="1" type="noConversion"/>
  </si>
  <si>
    <t>발동대상들 각각이 스킬을 받을때 생기는 sfx를 지정한다. DOT형이 아닌 지속성 스킬은 발동이펙트가 생성되지 않는다.</t>
    <phoneticPr fontId="1" type="noConversion"/>
  </si>
  <si>
    <t>적사살시</t>
    <phoneticPr fontId="1" type="noConversion"/>
  </si>
  <si>
    <t>버프를 가진자가 적을 죽였을때 효과가 발동된다.</t>
    <phoneticPr fontId="1" type="noConversion"/>
  </si>
  <si>
    <t>근접공격시</t>
    <phoneticPr fontId="1" type="noConversion"/>
  </si>
  <si>
    <t>데미지누적</t>
    <phoneticPr fontId="1" type="noConversion"/>
  </si>
  <si>
    <t>정수형</t>
    <phoneticPr fontId="1" type="noConversion"/>
  </si>
  <si>
    <t>데미지누적량</t>
    <phoneticPr fontId="1" type="noConversion"/>
  </si>
  <si>
    <t>데미지가 일정량 누적되면 효과가 발동된다. 누적량은 "데미지누적량" 항목으로 입력한다.</t>
    <phoneticPr fontId="1" type="noConversion"/>
  </si>
  <si>
    <t>데미지누적 발동시점의 누적량을 입력한다.</t>
    <phoneticPr fontId="1" type="noConversion"/>
  </si>
  <si>
    <t>회피율보정</t>
    <phoneticPr fontId="1" type="noConversion"/>
  </si>
  <si>
    <t>경직</t>
    <phoneticPr fontId="1" type="noConversion"/>
  </si>
  <si>
    <t>애니메이션이 그자리에서 멈추고 이동/공격 불능상태가 된다.</t>
    <phoneticPr fontId="1" type="noConversion"/>
  </si>
  <si>
    <t>근접타격계열</t>
  </si>
  <si>
    <t>원거리타격계열</t>
  </si>
  <si>
    <t>버프계열</t>
  </si>
  <si>
    <t>원거리적용계열</t>
  </si>
  <si>
    <t>1회발동</t>
    <phoneticPr fontId="1" type="noConversion"/>
  </si>
  <si>
    <t>지속발동</t>
    <phoneticPr fontId="1" type="noConversion"/>
  </si>
  <si>
    <t>특징</t>
    <phoneticPr fontId="1" type="noConversion"/>
  </si>
  <si>
    <t>*지속시간이 없음</t>
    <phoneticPr fontId="1" type="noConversion"/>
  </si>
  <si>
    <t>*거리가 있는 대상을 향한 타격
*발사체 있다/없다
*지속시간이 없다</t>
    <phoneticPr fontId="1" type="noConversion"/>
  </si>
  <si>
    <t>*거리가 있는 대상을 향한 타격
*발사체 있다/없다
*지속시간이 있다</t>
    <phoneticPr fontId="1" type="noConversion"/>
  </si>
  <si>
    <t>*지속시간이 있다
*대상에게 건다
*발동주기 있다/없다</t>
    <phoneticPr fontId="1" type="noConversion"/>
  </si>
  <si>
    <t>*비 타격계열
*발사체 있다/없다</t>
    <phoneticPr fontId="1" type="noConversion"/>
  </si>
  <si>
    <t>스킬예시</t>
    <phoneticPr fontId="1" type="noConversion"/>
  </si>
  <si>
    <t>단일대상 타격</t>
    <phoneticPr fontId="1" type="noConversion"/>
  </si>
  <si>
    <t>마법화살</t>
    <phoneticPr fontId="1" type="noConversion"/>
  </si>
  <si>
    <t>셀프버프</t>
    <phoneticPr fontId="1" type="noConversion"/>
  </si>
  <si>
    <t>힐</t>
    <phoneticPr fontId="1" type="noConversion"/>
  </si>
  <si>
    <t>시전(자)이펙트: sfx_기모으기.spr</t>
    <phoneticPr fontId="1" type="noConversion"/>
  </si>
  <si>
    <t>슈팅이펙트: sfx_돌파.spr</t>
    <phoneticPr fontId="1" type="noConversion"/>
  </si>
  <si>
    <t>시전자이펙트: sfx_기모으기.spr</t>
    <phoneticPr fontId="1" type="noConversion"/>
  </si>
  <si>
    <t>타격이펙트: sfx_타격.spr</t>
    <phoneticPr fontId="1" type="noConversion"/>
  </si>
  <si>
    <t>슈팅이펙트: sfx_shoot.spr</t>
    <phoneticPr fontId="1" type="noConversion"/>
  </si>
  <si>
    <t>소용돌이</t>
    <phoneticPr fontId="1" type="noConversion"/>
  </si>
  <si>
    <t>불바다</t>
    <phoneticPr fontId="1" type="noConversion"/>
  </si>
  <si>
    <t>기준타겟: 자신</t>
    <phoneticPr fontId="1" type="noConversion"/>
  </si>
  <si>
    <t>기준타겟: 자신</t>
    <phoneticPr fontId="1" type="noConversion"/>
  </si>
  <si>
    <t>기준타겟: 좌표</t>
    <phoneticPr fontId="1" type="noConversion"/>
  </si>
  <si>
    <t>효과대상우호: 적</t>
    <phoneticPr fontId="1" type="noConversion"/>
  </si>
  <si>
    <t>지속시간: 3초</t>
    <phoneticPr fontId="1" type="noConversion"/>
  </si>
  <si>
    <t>타겟종속: 없음</t>
    <phoneticPr fontId="1" type="noConversion"/>
  </si>
  <si>
    <t>슈팅이펙트: sfx_소용돌이.spr</t>
    <phoneticPr fontId="1" type="noConversion"/>
  </si>
  <si>
    <t>발동주기: 1초</t>
    <phoneticPr fontId="1" type="noConversion"/>
  </si>
  <si>
    <t>지속시간: 3초</t>
    <phoneticPr fontId="1" type="noConversion"/>
  </si>
  <si>
    <t>타격(발동)이펙트: sfx_타격.spr</t>
    <phoneticPr fontId="1" type="noConversion"/>
  </si>
  <si>
    <t>시전(자)이펙트: sfx_기모으기.spr</t>
    <phoneticPr fontId="1" type="noConversion"/>
  </si>
  <si>
    <t>발동주기: 1초</t>
    <phoneticPr fontId="1" type="noConversion"/>
  </si>
  <si>
    <t>효과이펙트: sfx_화염폭발.spr</t>
    <phoneticPr fontId="1" type="noConversion"/>
  </si>
  <si>
    <t>타격이펙트: sfx_타격.spr</t>
    <phoneticPr fontId="1" type="noConversion"/>
  </si>
  <si>
    <t>타격(발동)이펙트: sfx_화르륵.spr</t>
    <phoneticPr fontId="1" type="noConversion"/>
  </si>
  <si>
    <t>전방 광역 타격</t>
    <phoneticPr fontId="1" type="noConversion"/>
  </si>
  <si>
    <t xml:space="preserve"> 화염 장판</t>
    <phoneticPr fontId="1" type="noConversion"/>
  </si>
  <si>
    <t>화염지대화살</t>
    <phoneticPr fontId="1" type="noConversion"/>
  </si>
  <si>
    <t>발사체:shoot_arrow.spr</t>
    <phoneticPr fontId="1" type="noConversion"/>
  </si>
  <si>
    <t>타겟종속: 있음</t>
    <phoneticPr fontId="1" type="noConversion"/>
  </si>
  <si>
    <t>시전(자)이펙트: sfx_기모으기.spr</t>
    <phoneticPr fontId="1" type="noConversion"/>
  </si>
  <si>
    <t>지속시간: 10초</t>
    <phoneticPr fontId="1" type="noConversion"/>
  </si>
  <si>
    <t>슈팅이펙트: sfx_shoot.spr</t>
    <phoneticPr fontId="1" type="noConversion"/>
  </si>
  <si>
    <t>발동주기: 1초</t>
    <phoneticPr fontId="1" type="noConversion"/>
  </si>
  <si>
    <t>슈팅이펙트: sfx_노바.spr</t>
    <phoneticPr fontId="1" type="noConversion"/>
  </si>
  <si>
    <t>타격이펙트: sfx_화염.spr</t>
    <phoneticPr fontId="1" type="noConversion"/>
  </si>
  <si>
    <t>효과이펙트: sfx_장판.spr</t>
    <phoneticPr fontId="1" type="noConversion"/>
  </si>
  <si>
    <t>발동이펙트: sfx_화르륵.spr</t>
    <phoneticPr fontId="1" type="noConversion"/>
  </si>
  <si>
    <t>타겟 중심으로 광역타격</t>
    <phoneticPr fontId="1" type="noConversion"/>
  </si>
  <si>
    <t>쏜즈아머</t>
    <phoneticPr fontId="1" type="noConversion"/>
  </si>
  <si>
    <t>화염갑옷</t>
    <phoneticPr fontId="1" type="noConversion"/>
  </si>
  <si>
    <t>불태우기</t>
    <phoneticPr fontId="1" type="noConversion"/>
  </si>
  <si>
    <t>대상에게 시전하여 대상은 물론 대상주위의 같은편들도 주기적 피해</t>
    <phoneticPr fontId="1" type="noConversion"/>
  </si>
  <si>
    <t>기준타겟우호: 아군</t>
    <phoneticPr fontId="1" type="noConversion"/>
  </si>
  <si>
    <t>기준타겟우호: 적</t>
    <phoneticPr fontId="1" type="noConversion"/>
  </si>
  <si>
    <t>타겟지정방식</t>
    <phoneticPr fontId="1" type="noConversion"/>
  </si>
  <si>
    <t>셀프</t>
    <phoneticPr fontId="1" type="noConversion"/>
  </si>
  <si>
    <t>공격타겟</t>
    <phoneticPr fontId="1" type="noConversion"/>
  </si>
  <si>
    <t>직접 터치 지정</t>
    <phoneticPr fontId="1" type="noConversion"/>
  </si>
  <si>
    <t>조건 검색</t>
    <phoneticPr fontId="1" type="noConversion"/>
  </si>
  <si>
    <t>현재 타겟으로 잡혀있는 대상에게 스킬을 사용</t>
    <phoneticPr fontId="1" type="noConversion"/>
  </si>
  <si>
    <t>터치로 지정한 적에게 스킬을 사용</t>
    <phoneticPr fontId="1" type="noConversion"/>
  </si>
  <si>
    <t>특정 조건에 해당하는 적에게 스킬을 사용</t>
    <phoneticPr fontId="1" type="noConversion"/>
  </si>
  <si>
    <t>시전자 자신에게 사용</t>
    <phoneticPr fontId="1" type="noConversion"/>
  </si>
  <si>
    <t>UseSkill( 공격타겟 )</t>
    <phoneticPr fontId="1" type="noConversion"/>
  </si>
  <si>
    <t>공통적으로 현재 잡고 있는 타겟을 넘겨주지만 스킬의 기준타겟에 따라 쓸수도 안쓸수도 있다.</t>
    <phoneticPr fontId="1" type="noConversion"/>
  </si>
  <si>
    <t>시전자이펙트를 실행하려면 스킬사용시작 시점에 UseSkill을 실행해서 strCasterEffect를 생성하도록 해야한다.</t>
    <phoneticPr fontId="1" type="noConversion"/>
  </si>
  <si>
    <t>타점이벤트 올때 XSkillUser::OnHitEvent()를 호출해 연결해줘야 한다.</t>
    <phoneticPr fontId="1" type="noConversion"/>
  </si>
  <si>
    <t>1.스킬사용시작(모션시작)</t>
    <phoneticPr fontId="1" type="noConversion"/>
  </si>
  <si>
    <t>1-1.타겟지정</t>
    <phoneticPr fontId="1" type="noConversion"/>
  </si>
  <si>
    <t>2.슈팅(타점)</t>
    <phoneticPr fontId="1" type="noConversion"/>
  </si>
  <si>
    <t>3.타격(발동)/효과적용</t>
    <phoneticPr fontId="1" type="noConversion"/>
  </si>
  <si>
    <t>4.종료</t>
    <phoneticPr fontId="1" type="noConversion"/>
  </si>
  <si>
    <t>UseSkill( 터치타겟/좌표 )</t>
    <phoneticPr fontId="1" type="noConversion"/>
  </si>
  <si>
    <t>파라메터 "타겟"은 기준타겟:타인 혹은 기준타겟:좌표 시에 사용되며 기준타겟:자신 일때는 사용되지 않는다.</t>
    <phoneticPr fontId="1" type="noConversion"/>
  </si>
  <si>
    <t>만약 자신을 포함한 아군을 직접 지정해야하는 유형은 기준타겟:객체 를 사용한다.</t>
    <phoneticPr fontId="1" type="noConversion"/>
  </si>
  <si>
    <t>적군 디버프</t>
    <phoneticPr fontId="1" type="noConversion"/>
  </si>
  <si>
    <t>기준타겟: 객체/타인</t>
    <phoneticPr fontId="1" type="noConversion"/>
  </si>
  <si>
    <t>기준타겟우호: 아군</t>
    <phoneticPr fontId="1" type="noConversion"/>
  </si>
  <si>
    <t>아군범위버프</t>
    <phoneticPr fontId="1" type="noConversion"/>
  </si>
  <si>
    <t>아군단일버프</t>
    <phoneticPr fontId="1" type="noConversion"/>
  </si>
  <si>
    <t>효과종속: 있음</t>
    <phoneticPr fontId="1" type="noConversion"/>
  </si>
  <si>
    <t>지속시간: 5초</t>
    <phoneticPr fontId="1" type="noConversion"/>
  </si>
  <si>
    <t>발동주기: 1초</t>
    <phoneticPr fontId="1" type="noConversion"/>
  </si>
  <si>
    <t>효과이펙트: sfx_지속효과.spr</t>
    <phoneticPr fontId="1" type="noConversion"/>
  </si>
  <si>
    <t>발동이펙트: sfx_별가루.spr</t>
    <phoneticPr fontId="1" type="noConversion"/>
  </si>
  <si>
    <t>단일도트힐</t>
    <phoneticPr fontId="1" type="noConversion"/>
  </si>
  <si>
    <t>범위도트힐</t>
    <phoneticPr fontId="1" type="noConversion"/>
  </si>
  <si>
    <t>바닥범위도트힐</t>
    <phoneticPr fontId="1" type="noConversion"/>
  </si>
  <si>
    <t>기준타겟우호: 적</t>
    <phoneticPr fontId="1" type="noConversion"/>
  </si>
  <si>
    <t>슈팅이펙트: sfx_검기.spr</t>
    <phoneticPr fontId="1" type="noConversion"/>
  </si>
  <si>
    <t>연속발사</t>
    <phoneticPr fontId="1" type="noConversion"/>
  </si>
  <si>
    <t>멀티샷</t>
    <phoneticPr fontId="1" type="noConversion"/>
  </si>
  <si>
    <t>기준타겟우호: 적</t>
    <phoneticPr fontId="1" type="noConversion"/>
  </si>
  <si>
    <t>슈팅이펙트: sfx_발사효과.spr</t>
    <phoneticPr fontId="1" type="noConversion"/>
  </si>
  <si>
    <t>발사체: sfx_화살.spr</t>
    <phoneticPr fontId="1" type="noConversion"/>
  </si>
  <si>
    <t>독화살</t>
    <phoneticPr fontId="1" type="noConversion"/>
  </si>
  <si>
    <t>독구름화살</t>
    <phoneticPr fontId="1" type="noConversion"/>
  </si>
  <si>
    <t>발사체수: 5</t>
    <phoneticPr fontId="1" type="noConversion"/>
  </si>
  <si>
    <t>난무</t>
    <phoneticPr fontId="1" type="noConversion"/>
  </si>
  <si>
    <t>기준타겟: 현재타겟</t>
  </si>
  <si>
    <t>기준타겟: 현재타겟</t>
    <phoneticPr fontId="1" type="noConversion"/>
  </si>
  <si>
    <t>타겟이펙트: sfx_화염폭발.spr</t>
    <phoneticPr fontId="1" type="noConversion"/>
  </si>
  <si>
    <t>타격(발동)이펙트: sfx_화르륵.spr</t>
    <phoneticPr fontId="1" type="noConversion"/>
  </si>
  <si>
    <t>지속이펙트: sfx_불바다.spr</t>
    <phoneticPr fontId="1" type="noConversion"/>
  </si>
  <si>
    <t>오라류는 버프객체측에서 실시간으로 주변 객체를 스캔해야 한다.</t>
    <phoneticPr fontId="1" type="noConversion"/>
  </si>
  <si>
    <t>실시간으로 스캔하는것이 가장정확하나 최적화를 위해서는 매우짧은 주기단위로 끊는것이 좋다</t>
    <phoneticPr fontId="1" type="noConversion"/>
  </si>
  <si>
    <t>예를들어 스캔은 0.1초(6프레임)만에 한번씩 해서 주변객체들에게 적용시키고 적용을 받은 객체는</t>
    <phoneticPr fontId="1" type="noConversion"/>
  </si>
  <si>
    <t xml:space="preserve">최소 0.1초간 버프를 유지하도록 한다. </t>
    <phoneticPr fontId="1" type="noConversion"/>
  </si>
  <si>
    <t xml:space="preserve">매우 자주 짧은 버프를 받게되므로 동적할당은 좋지 않다. </t>
    <phoneticPr fontId="1" type="noConversion"/>
  </si>
  <si>
    <t>인스턴트 버프개념을 도입해서 모든 능력치 보정값은 하나의 짧은 타이머를 공유하게 한다.</t>
    <phoneticPr fontId="1" type="noConversion"/>
  </si>
  <si>
    <t>예를들어 공속오라와 방어력오라가 겹쳐졌다면 0.1초마다 들어오는 공속오라의 버프를 버프시간 0.1초로 잡고 방어력오라의 버프가 들어왔을때 능력치 보정을 하면서 이전의 0.1초 타이머를 그대로 사용하게 한다.</t>
    <phoneticPr fontId="1" type="noConversion"/>
  </si>
  <si>
    <t>다시말해 인스턴트버프는 인스턴트시간이 지나면 모든 능력치보정값이 초기화가 되는것이다.</t>
    <phoneticPr fontId="1" type="noConversion"/>
  </si>
  <si>
    <t>발동범위: 5</t>
    <phoneticPr fontId="1" type="noConversion"/>
  </si>
  <si>
    <t>시전범위: 0</t>
    <phoneticPr fontId="1" type="noConversion"/>
  </si>
  <si>
    <t>지속시간: 10</t>
    <phoneticPr fontId="1" type="noConversion"/>
  </si>
  <si>
    <t>타겟: 시전을 위해 기준이 되는 타겟</t>
    <phoneticPr fontId="1" type="noConversion"/>
  </si>
  <si>
    <t>시전범위: 타겟을 기준으로한 시전대상의 범위</t>
    <phoneticPr fontId="1" type="noConversion"/>
  </si>
  <si>
    <t>발동대상: 버프의 효과가 실제 적용될 대상</t>
    <phoneticPr fontId="1" type="noConversion"/>
  </si>
  <si>
    <t>발동범위: 버프의 효과가 실제 적용될때 버프소지자로부터의 범위</t>
    <phoneticPr fontId="1" type="noConversion"/>
  </si>
  <si>
    <t>발동범위: 0</t>
    <phoneticPr fontId="1" type="noConversion"/>
  </si>
  <si>
    <t>지속시간: 0</t>
    <phoneticPr fontId="1" type="noConversion"/>
  </si>
  <si>
    <t>발동주기: 0</t>
    <phoneticPr fontId="1" type="noConversion"/>
  </si>
  <si>
    <t>지속이펙트: =</t>
    <phoneticPr fontId="1" type="noConversion"/>
  </si>
  <si>
    <t>타겟이펙트: =</t>
    <phoneticPr fontId="1" type="noConversion"/>
  </si>
  <si>
    <t>타겟이펙트: sfx_난무.spr</t>
    <phoneticPr fontId="1" type="noConversion"/>
  </si>
  <si>
    <t>지속이펙트: =</t>
    <phoneticPr fontId="1" type="noConversion"/>
  </si>
  <si>
    <t>시전범위: 5미터</t>
  </si>
  <si>
    <t>시전대상: 타겟을 기준으로 버프객체를 소지할 범위내 객체들</t>
    <phoneticPr fontId="1" type="noConversion"/>
  </si>
  <si>
    <t>타겟이펙트: =</t>
    <phoneticPr fontId="1" type="noConversion"/>
  </si>
  <si>
    <t>기준타겟우호: none</t>
    <phoneticPr fontId="1" type="noConversion"/>
  </si>
  <si>
    <t>발동대상우호: 적</t>
    <phoneticPr fontId="1" type="noConversion"/>
  </si>
  <si>
    <t>시전범위: 5</t>
    <phoneticPr fontId="1" type="noConversion"/>
  </si>
  <si>
    <t>발동범위: 0</t>
    <phoneticPr fontId="1" type="noConversion"/>
  </si>
  <si>
    <t>시전대상우호: 적</t>
    <phoneticPr fontId="1" type="noConversion"/>
  </si>
  <si>
    <t>회전베기</t>
    <phoneticPr fontId="1" type="noConversion"/>
  </si>
  <si>
    <t>버프 오라</t>
    <phoneticPr fontId="1" type="noConversion"/>
  </si>
  <si>
    <t>디버프 오라</t>
    <phoneticPr fontId="1" type="noConversion"/>
  </si>
  <si>
    <t>시전범위: 0</t>
    <phoneticPr fontId="1" type="noConversion"/>
  </si>
  <si>
    <t>시전대상우호: none</t>
    <phoneticPr fontId="1" type="noConversion"/>
  </si>
  <si>
    <t>슈팅이펙트: =</t>
    <phoneticPr fontId="1" type="noConversion"/>
  </si>
  <si>
    <t>지속이펙트: sfx_돔.spr</t>
    <phoneticPr fontId="1" type="noConversion"/>
  </si>
  <si>
    <t>타격(발동)이펙트: sfx_작은보호막.spr</t>
    <phoneticPr fontId="1" type="noConversion"/>
  </si>
  <si>
    <t>지속시간: 5</t>
    <phoneticPr fontId="1" type="noConversion"/>
  </si>
  <si>
    <t>지속이펙트: sfx_검은오라.spr</t>
    <phoneticPr fontId="1" type="noConversion"/>
  </si>
  <si>
    <t>발동대상: (주변)</t>
    <phoneticPr fontId="1" type="noConversion"/>
  </si>
  <si>
    <t>발동대상우호: none</t>
    <phoneticPr fontId="1" type="noConversion"/>
  </si>
  <si>
    <t>기준타겟: 현재타겟</t>
    <phoneticPr fontId="1" type="noConversion"/>
  </si>
  <si>
    <t>기준타겟우호: 적</t>
    <phoneticPr fontId="1" type="noConversion"/>
  </si>
  <si>
    <t>시전대상우호: 적</t>
    <phoneticPr fontId="1" type="noConversion"/>
  </si>
  <si>
    <t>슈팅이펙트: sfx_돌파.spr</t>
    <phoneticPr fontId="1" type="noConversion"/>
  </si>
  <si>
    <t>전방광역타겟과 같음.</t>
    <phoneticPr fontId="1" type="noConversion"/>
  </si>
  <si>
    <t>발동대상: (시전대상)주변</t>
    <phoneticPr fontId="1" type="noConversion"/>
  </si>
  <si>
    <t>발동대상우호: none(무시됨)</t>
    <phoneticPr fontId="1" type="noConversion"/>
  </si>
  <si>
    <t>기준타겟우호: none</t>
    <phoneticPr fontId="1" type="noConversion"/>
  </si>
  <si>
    <t>발동범위: 0</t>
    <phoneticPr fontId="1" type="noConversion"/>
  </si>
  <si>
    <t>효과대상우호: none</t>
    <phoneticPr fontId="1" type="noConversion"/>
  </si>
  <si>
    <t>발동대상우호: none</t>
    <phoneticPr fontId="1" type="noConversion"/>
  </si>
  <si>
    <t>슈팅이펙트: =</t>
    <phoneticPr fontId="1" type="noConversion"/>
  </si>
  <si>
    <t>타겟이펙트: =</t>
    <phoneticPr fontId="1" type="noConversion"/>
  </si>
  <si>
    <t>지속이펙트: sfx_회오리.spr(1초짜리)</t>
    <phoneticPr fontId="1" type="noConversion"/>
  </si>
  <si>
    <t>시전대상우호: 적</t>
    <phoneticPr fontId="1" type="noConversion"/>
  </si>
  <si>
    <t>시전대상우호: none</t>
    <phoneticPr fontId="1" type="noConversion"/>
  </si>
  <si>
    <t>시전범위: 0</t>
    <phoneticPr fontId="1" type="noConversion"/>
  </si>
  <si>
    <t>발동대상우호: 적</t>
    <phoneticPr fontId="1" type="noConversion"/>
  </si>
  <si>
    <t>용암 타격</t>
    <phoneticPr fontId="1" type="noConversion"/>
  </si>
  <si>
    <t>시전대상: 기준타겟</t>
    <phoneticPr fontId="1" type="noConversion"/>
  </si>
  <si>
    <t>시전대상: 기준타겟주변</t>
    <phoneticPr fontId="1" type="noConversion"/>
  </si>
  <si>
    <t>발동대상: 시전대상자</t>
  </si>
  <si>
    <t>발동대상: 시전대상자주변</t>
  </si>
  <si>
    <t>시전대상: 기준타겟</t>
    <phoneticPr fontId="1" type="noConversion"/>
  </si>
  <si>
    <t>발동대상우호: none</t>
  </si>
  <si>
    <t>시전대상우호: none</t>
  </si>
  <si>
    <t>시전대상우호: none</t>
    <phoneticPr fontId="1" type="noConversion"/>
  </si>
  <si>
    <t>기준타겟우호: none</t>
  </si>
  <si>
    <t>발동대상: 시전대상자</t>
    <phoneticPr fontId="1" type="noConversion"/>
  </si>
  <si>
    <t>타격(발동)이펙트: sfx_타격.spr</t>
    <phoneticPr fontId="1" type="noConversion"/>
  </si>
  <si>
    <t>시전대상: 기준타겟주변</t>
    <phoneticPr fontId="1" type="noConversion"/>
  </si>
  <si>
    <t>시전범위: 5</t>
    <phoneticPr fontId="1" type="noConversion"/>
  </si>
  <si>
    <t>슈팅이펙트: sfx_fireball.spr</t>
    <phoneticPr fontId="1" type="noConversion"/>
  </si>
  <si>
    <t>타겟이펙트: sfx_폭발.spr</t>
    <phoneticPr fontId="1" type="noConversion"/>
  </si>
  <si>
    <t>발동이펙트: sfx_타격.spr</t>
    <phoneticPr fontId="1" type="noConversion"/>
  </si>
  <si>
    <t>기준타겟: 좌표/현재타겟</t>
    <phoneticPr fontId="1" type="noConversion"/>
  </si>
  <si>
    <t>파이어볼(객체타겟)</t>
    <phoneticPr fontId="1" type="noConversion"/>
  </si>
  <si>
    <t>파이어볼(지역타겟)</t>
    <phoneticPr fontId="1" type="noConversion"/>
  </si>
  <si>
    <t>발사체: sfx_fireball.spr</t>
    <phoneticPr fontId="1" type="noConversion"/>
  </si>
  <si>
    <t>슈팅이펙트: sfx_발사.spr</t>
    <phoneticPr fontId="1" type="noConversion"/>
  </si>
  <si>
    <t>메테오(화살비)</t>
    <phoneticPr fontId="1" type="noConversion"/>
  </si>
  <si>
    <t>발사체: =</t>
    <phoneticPr fontId="1" type="noConversion"/>
  </si>
  <si>
    <t>타겟이펙트: sfx_메테오떨어짐.spr</t>
    <phoneticPr fontId="1" type="noConversion"/>
  </si>
  <si>
    <t>기준타겟: 자신/현재타겟</t>
    <phoneticPr fontId="1" type="noConversion"/>
  </si>
  <si>
    <t>기준타겟우호: none/아군</t>
    <phoneticPr fontId="1" type="noConversion"/>
  </si>
  <si>
    <t>시전대상: 기준타겟</t>
    <phoneticPr fontId="1" type="noConversion"/>
  </si>
  <si>
    <t>시전대상우호: none</t>
    <phoneticPr fontId="1" type="noConversion"/>
  </si>
  <si>
    <t>시전범위: 0</t>
    <phoneticPr fontId="1" type="noConversion"/>
  </si>
  <si>
    <t>지속시간: 10</t>
    <phoneticPr fontId="1" type="noConversion"/>
  </si>
  <si>
    <t>발동시점: 타격시</t>
    <phoneticPr fontId="1" type="noConversion"/>
  </si>
  <si>
    <t>발동대상: 피격자</t>
    <phoneticPr fontId="1" type="noConversion"/>
  </si>
  <si>
    <t>타격형</t>
    <phoneticPr fontId="1" type="noConversion"/>
  </si>
  <si>
    <t>비타격형</t>
    <phoneticPr fontId="1" type="noConversion"/>
  </si>
  <si>
    <t>*지속시간이 있다.
*시전대상자와 발동대상자가 다를수 있다.
*발동시점이 있다.</t>
    <phoneticPr fontId="1" type="noConversion"/>
  </si>
  <si>
    <t>발동시점: 즉시</t>
    <phoneticPr fontId="1" type="noConversion"/>
  </si>
  <si>
    <t>흡혈타격</t>
    <phoneticPr fontId="1" type="noConversion"/>
  </si>
  <si>
    <t>시전대상: 기준타겟</t>
    <phoneticPr fontId="1" type="noConversion"/>
  </si>
  <si>
    <t>발동대상: 피격자/공격자</t>
    <phoneticPr fontId="1" type="noConversion"/>
  </si>
  <si>
    <t>발동범위: 0</t>
    <phoneticPr fontId="1" type="noConversion"/>
  </si>
  <si>
    <t>발동대상우호: none/none</t>
    <phoneticPr fontId="1" type="noConversion"/>
  </si>
  <si>
    <t>발동주기: 0</t>
    <phoneticPr fontId="1" type="noConversion"/>
  </si>
  <si>
    <t>타격이펙트: sfx_뱀파이어등장..spr</t>
    <phoneticPr fontId="1" type="noConversion"/>
  </si>
  <si>
    <t>지속이펙트: =</t>
    <phoneticPr fontId="1" type="noConversion"/>
  </si>
  <si>
    <t>슈팅이펙트: =</t>
    <phoneticPr fontId="1" type="noConversion"/>
  </si>
  <si>
    <t>발동이펙트: sfx_피흡수.spr</t>
    <phoneticPr fontId="1" type="noConversion"/>
  </si>
  <si>
    <t>시전대상: 기준타겟</t>
    <phoneticPr fontId="1" type="noConversion"/>
  </si>
  <si>
    <t>발동범위: 0</t>
    <phoneticPr fontId="1" type="noConversion"/>
  </si>
  <si>
    <t>발동스킬: 용암덩어리</t>
    <phoneticPr fontId="1" type="noConversion"/>
  </si>
  <si>
    <t>용암덩어리</t>
    <phoneticPr fontId="1" type="noConversion"/>
  </si>
  <si>
    <t>슈팅이펙트: =</t>
    <phoneticPr fontId="1" type="noConversion"/>
  </si>
  <si>
    <t>타겟이펙트: sfx_짠.spr</t>
    <phoneticPr fontId="1" type="noConversion"/>
  </si>
  <si>
    <t>발동이펙트: sfx_팟!.spr</t>
    <phoneticPr fontId="1" type="noConversion"/>
  </si>
  <si>
    <t>기준타겟: 좌표</t>
    <phoneticPr fontId="1" type="noConversion"/>
  </si>
  <si>
    <t>기준타겟우호: none</t>
    <phoneticPr fontId="1" type="noConversion"/>
  </si>
  <si>
    <t>발동시점: 계속</t>
    <phoneticPr fontId="1" type="noConversion"/>
  </si>
  <si>
    <t>지속시간: 2초</t>
    <phoneticPr fontId="1" type="noConversion"/>
  </si>
  <si>
    <t>시전(자)이펙트: =</t>
    <phoneticPr fontId="1" type="noConversion"/>
  </si>
  <si>
    <t>지속이펙트: = sfx_용암바닥.spr</t>
    <phoneticPr fontId="1" type="noConversion"/>
  </si>
  <si>
    <t>타겟이펙트: =</t>
    <phoneticPr fontId="1" type="noConversion"/>
  </si>
  <si>
    <t>발동이펙트: sfx_화르륵.spr</t>
    <phoneticPr fontId="1" type="noConversion"/>
  </si>
  <si>
    <t>타겟종속: 있음</t>
    <phoneticPr fontId="1" type="noConversion"/>
  </si>
  <si>
    <t>타겟종속: 없음</t>
    <phoneticPr fontId="1" type="noConversion"/>
  </si>
  <si>
    <t>시전대상우호: none</t>
    <phoneticPr fontId="1" type="noConversion"/>
  </si>
  <si>
    <t>시전범위: 0</t>
    <phoneticPr fontId="1" type="noConversion"/>
  </si>
  <si>
    <t>발동대상: 시전대상주변</t>
    <phoneticPr fontId="1" type="noConversion"/>
  </si>
  <si>
    <t>발동대상우호: 적</t>
    <phoneticPr fontId="1" type="noConversion"/>
  </si>
  <si>
    <t>타겟이펙트: sfx_타격.spr</t>
    <phoneticPr fontId="1" type="noConversion"/>
  </si>
  <si>
    <t>시전대상: 기준타겟좌표</t>
    <phoneticPr fontId="1" type="noConversion"/>
  </si>
  <si>
    <t>발동대상: 시전대상주변</t>
    <phoneticPr fontId="1" type="noConversion"/>
  </si>
  <si>
    <t>발동범위: 5</t>
    <phoneticPr fontId="1" type="noConversion"/>
  </si>
  <si>
    <t>발동대상우호: 적</t>
    <phoneticPr fontId="1" type="noConversion"/>
  </si>
  <si>
    <t>시전대상: 기준타겟/기준타겟좌표</t>
    <phoneticPr fontId="1" type="noConversion"/>
  </si>
  <si>
    <t>시전대상우호: none/none</t>
    <phoneticPr fontId="1" type="noConversion"/>
  </si>
  <si>
    <t>시전범위: 0/0</t>
    <phoneticPr fontId="1" type="noConversion"/>
  </si>
  <si>
    <t>발동대상: 시전대상/시전대상주변</t>
    <phoneticPr fontId="1" type="noConversion"/>
  </si>
  <si>
    <t>발동범위: 0/5</t>
    <phoneticPr fontId="1" type="noConversion"/>
  </si>
  <si>
    <t>발동대상우호: none/적</t>
    <phoneticPr fontId="1" type="noConversion"/>
  </si>
  <si>
    <t>타겟이펙트: sfx_독구름생성.spr</t>
    <phoneticPr fontId="1" type="noConversion"/>
  </si>
  <si>
    <t>지속이펙트: sfx_독구름.spr</t>
    <phoneticPr fontId="1" type="noConversion"/>
  </si>
  <si>
    <t>타격(발동)이펙트: sfx_독감염.spr</t>
    <phoneticPr fontId="1" type="noConversion"/>
  </si>
  <si>
    <t>기준타겟우호: none</t>
    <phoneticPr fontId="1" type="noConversion"/>
  </si>
  <si>
    <t>시전범위: none</t>
  </si>
  <si>
    <t>발동대상: none</t>
  </si>
  <si>
    <t>발동범위: none</t>
  </si>
  <si>
    <t>지속시간: none</t>
  </si>
  <si>
    <t>발동주기: none</t>
  </si>
  <si>
    <t>시전(자)이펙트: none</t>
  </si>
  <si>
    <t>슈팅이펙트: none</t>
  </si>
  <si>
    <t>타겟이펙트: none</t>
  </si>
  <si>
    <t>지속이펙트: none</t>
  </si>
  <si>
    <t>타격(발동)이펙트: none</t>
  </si>
  <si>
    <t>기준타겟: none</t>
  </si>
  <si>
    <t>전방광역타겟과: none</t>
  </si>
  <si>
    <t>발동대상: 시전대상</t>
    <phoneticPr fontId="1" type="noConversion"/>
  </si>
  <si>
    <t>발동대상우호: none</t>
    <phoneticPr fontId="1" type="noConversion"/>
  </si>
  <si>
    <t>지속시간: 5</t>
    <phoneticPr fontId="1" type="noConversion"/>
  </si>
  <si>
    <t>발동주기: 0</t>
    <phoneticPr fontId="1" type="noConversion"/>
  </si>
  <si>
    <t>슈팅이펙트: sfx_짠!.spr</t>
    <phoneticPr fontId="1" type="noConversion"/>
  </si>
  <si>
    <t>지속이펙트: sfx_개인오라.spr</t>
    <phoneticPr fontId="1" type="noConversion"/>
  </si>
  <si>
    <t>발동이펙트: =</t>
    <phoneticPr fontId="1" type="noConversion"/>
  </si>
  <si>
    <t>기준타겟: 자신</t>
    <phoneticPr fontId="1" type="noConversion"/>
  </si>
  <si>
    <t>기준타겟</t>
    <phoneticPr fontId="1" type="noConversion"/>
  </si>
  <si>
    <t>기준타겟우호</t>
    <phoneticPr fontId="1" type="noConversion"/>
  </si>
  <si>
    <t>자신</t>
    <phoneticPr fontId="1" type="noConversion"/>
  </si>
  <si>
    <t>현재타겟</t>
    <phoneticPr fontId="1" type="noConversion"/>
  </si>
  <si>
    <t>좌표</t>
    <phoneticPr fontId="1" type="noConversion"/>
  </si>
  <si>
    <t>아군</t>
    <phoneticPr fontId="1" type="noConversion"/>
  </si>
  <si>
    <t>적, 적군</t>
    <phoneticPr fontId="1" type="noConversion"/>
  </si>
  <si>
    <t>기준타겟</t>
    <phoneticPr fontId="1" type="noConversion"/>
  </si>
  <si>
    <t>시전동작</t>
    <phoneticPr fontId="1" type="noConversion"/>
  </si>
  <si>
    <t>정수형</t>
    <phoneticPr fontId="1" type="noConversion"/>
  </si>
  <si>
    <t>스킬모션의 액션아이디를 직접 지정할수 있다. 디폴트는 94 (ACT_SKILL1)</t>
    <phoneticPr fontId="1" type="noConversion"/>
  </si>
  <si>
    <t>시전자 자신을 기준으로 한다. 자신에게쓰는 셀프 스킬의 경우 이것을 써야 한다.</t>
    <phoneticPr fontId="1" type="noConversion"/>
  </si>
  <si>
    <t>현재 공격대상을 의미한다. 만약 직접 터치로 타겟을 지정해야하는 류의 스킬이라면 그 타겟이 현재타겟이 된다.</t>
    <phoneticPr fontId="1" type="noConversion"/>
  </si>
  <si>
    <t xml:space="preserve">직접 터치로 지정한 좌표. </t>
    <phoneticPr fontId="1" type="noConversion"/>
  </si>
  <si>
    <t>스킬(혹은 버프)을 받는 대상을 말한다. 스킬의 효과를 받는 대상이 아님을 주의한다. 시전대상은 시전범위와 결합되어 복수가 될수도 있다.</t>
    <phoneticPr fontId="1" type="noConversion"/>
  </si>
  <si>
    <t>기준타겟:자신/현재타겟</t>
    <phoneticPr fontId="1" type="noConversion"/>
  </si>
  <si>
    <t>기준타겟파티</t>
    <phoneticPr fontId="1" type="noConversion"/>
  </si>
  <si>
    <t>시전대상이펙트: =</t>
    <phoneticPr fontId="1" type="noConversion"/>
  </si>
  <si>
    <t>상태이상의 특성</t>
    <phoneticPr fontId="1" type="noConversion"/>
  </si>
  <si>
    <t>* 지속시간이 있다</t>
    <phoneticPr fontId="1" type="noConversion"/>
  </si>
  <si>
    <t>* 0과 1의 속성을 갖는다.</t>
    <phoneticPr fontId="1" type="noConversion"/>
  </si>
  <si>
    <t>* 저항력이 적용되어 어떤 효과가 상태효과를 함께 갖게 되면 저항하거나 면역이 될수 있다.</t>
    <phoneticPr fontId="1" type="noConversion"/>
  </si>
  <si>
    <t>* 상태이상 해제시 적용받을 수 있다.</t>
    <phoneticPr fontId="1" type="noConversion"/>
  </si>
  <si>
    <t>* 부가적인 효과(DOT 데미지같은)를 함께 가질수 있다.</t>
    <phoneticPr fontId="1" type="noConversion"/>
  </si>
  <si>
    <t>수면: 행동불능상태에 빠진다. 맞으면 깨어난다. 기절이나 포박에 비하여 지속시간이 길다</t>
    <phoneticPr fontId="1" type="noConversion"/>
  </si>
  <si>
    <t>기절: 행동불능상태에 빠진다. 맞아도 깨지 않는다.</t>
    <phoneticPr fontId="1" type="noConversion"/>
  </si>
  <si>
    <t>출혈: DOT데미지를 입는다..</t>
    <phoneticPr fontId="1" type="noConversion"/>
  </si>
  <si>
    <t>중독: DOT데미지를 입는다.</t>
    <phoneticPr fontId="1" type="noConversion"/>
  </si>
  <si>
    <t>암흑: 시야와 적중율이 떨어진다.</t>
    <phoneticPr fontId="1" type="noConversion"/>
  </si>
  <si>
    <t>둔화: 이동속도와 모든모션이 느려진다.</t>
    <phoneticPr fontId="1" type="noConversion"/>
  </si>
  <si>
    <t>혼란: 피아 식별을 못한다.</t>
    <phoneticPr fontId="1" type="noConversion"/>
  </si>
  <si>
    <t>공포: 타겟으로부터 도망가며 공격불가 상태가 된다.</t>
    <phoneticPr fontId="1" type="noConversion"/>
  </si>
  <si>
    <t>침묵: 스킬사용이 금지된다.</t>
    <phoneticPr fontId="1" type="noConversion"/>
  </si>
  <si>
    <t>투명화: 모습이 보이지 않게 된다.</t>
    <phoneticPr fontId="1" type="noConversion"/>
  </si>
  <si>
    <t>휘감기: 이동불가 상태가 된다.</t>
    <phoneticPr fontId="1" type="noConversion"/>
  </si>
  <si>
    <t>기준타겟: 자신/현재타겟/조건</t>
    <phoneticPr fontId="1" type="noConversion"/>
  </si>
  <si>
    <t>기준타겟조건: 가장체력이적은부대</t>
    <phoneticPr fontId="1" type="noConversion"/>
  </si>
  <si>
    <t>기준타겟범위: 50</t>
    <phoneticPr fontId="1" type="noConversion"/>
  </si>
  <si>
    <t>지속시간: 0</t>
    <phoneticPr fontId="1" type="noConversion"/>
  </si>
  <si>
    <t>슈팅이펙트: sfx_빛.spr</t>
    <phoneticPr fontId="1" type="noConversion"/>
  </si>
  <si>
    <t>타겟이펙트: = sfx_별가루.spr</t>
    <phoneticPr fontId="1" type="noConversion"/>
  </si>
  <si>
    <t>시전대상: 기준타겟파티</t>
    <phoneticPr fontId="1" type="noConversion"/>
  </si>
  <si>
    <t>시전동작 시작시점에 발생하는 sfx.. 기준점은 발 아래가 된다.</t>
    <phoneticPr fontId="1" type="noConversion"/>
  </si>
  <si>
    <t>기술시전시 시전대상을 선정할때 기준이 되는 타겟을 의미한다. 기준타겟은 그저 기준이 될뿐이며 이것만으로는 스킬이 적용될 대상을 지정할 수 없다.</t>
    <phoneticPr fontId="1" type="noConversion"/>
  </si>
  <si>
    <t>조건</t>
    <phoneticPr fontId="1" type="noConversion"/>
  </si>
  <si>
    <t>기준타겟을 특정할 수 없을때 기준타겟조건에 의하여 동적으로 검색한다.</t>
    <phoneticPr fontId="1" type="noConversion"/>
  </si>
  <si>
    <t>기준타겟조건</t>
    <phoneticPr fontId="1" type="noConversion"/>
  </si>
  <si>
    <t>기준타겟이 "조건" 일경우 그 조건을 구체화 한다.</t>
    <phoneticPr fontId="1" type="noConversion"/>
  </si>
  <si>
    <t>체력이 가장 적은 파티의 멤버 한명이 기준타겟이 된다. 그 멤버는 생존자이고 멤버순서에 따라 결정된다.</t>
    <phoneticPr fontId="1" type="noConversion"/>
  </si>
  <si>
    <t>체력이 가장 많은 파티의 멤버 한명이 기준타겟이 된다. 그 멤버는 생존자이고 멤버순서에 따라 결정된다.</t>
    <phoneticPr fontId="1" type="noConversion"/>
  </si>
  <si>
    <t>기준타겟조건범위</t>
    <phoneticPr fontId="1" type="noConversion"/>
  </si>
  <si>
    <t>실수형</t>
    <phoneticPr fontId="1" type="noConversion"/>
  </si>
  <si>
    <t>기준타겟조건으로 대상을 검색할때 제한거리를 둔다. 단위는 미터</t>
    <phoneticPr fontId="1" type="noConversion"/>
  </si>
  <si>
    <t>기준타겟의 우호조건. 만약 적에게만 사용해야 하는 스킬이라면 우호는 "적"으로 선택해야한다. 만약 기준타겟이 "자신"이라면 이 파라메터는 무시된다. 기준타겟이 "현재타겟"이라면 현재타겟의 우호로 결정되며 이 파라메터는 무시된다.</t>
    <phoneticPr fontId="1" type="noConversion"/>
  </si>
  <si>
    <t>최초 기술 시전시 기준타겟에 생성되는 이펙트.</t>
    <phoneticPr fontId="1" type="noConversion"/>
  </si>
  <si>
    <t>한번만</t>
    <phoneticPr fontId="1" type="noConversion"/>
  </si>
  <si>
    <t>타겟좌표</t>
    <phoneticPr fontId="1" type="noConversion"/>
  </si>
  <si>
    <t>타겟의 발빝에 생성된다. 스킬 지속시간이 있을경우 목표를 따라다닌다.</t>
    <phoneticPr fontId="1" type="noConversion"/>
  </si>
  <si>
    <t>타겟의 바닥에 생성된다. 지면에 깔리는 류(ex:장판)의 이펙트라면 이것을 사용해야 한다.</t>
    <phoneticPr fontId="1" type="noConversion"/>
  </si>
  <si>
    <t>슈팅이펙트</t>
    <phoneticPr fontId="1" type="noConversion"/>
  </si>
  <si>
    <t>스킬동작의 타점이벤트 시점에 시전자에게 발생되는 이펙트</t>
    <phoneticPr fontId="1" type="noConversion"/>
  </si>
  <si>
    <t>슈팅이펙트id</t>
    <phoneticPr fontId="1" type="noConversion"/>
  </si>
  <si>
    <t>슈팅이펙트생성지점</t>
    <phoneticPr fontId="1" type="noConversion"/>
  </si>
  <si>
    <t>슈팅타겟이펙트</t>
    <phoneticPr fontId="1" type="noConversion"/>
  </si>
  <si>
    <t>슈팅타겟이펙트id</t>
    <phoneticPr fontId="1" type="noConversion"/>
  </si>
  <si>
    <t>슈팅타겟이펙트생성지점</t>
    <phoneticPr fontId="1" type="noConversion"/>
  </si>
  <si>
    <t>스킬동작의 타점이벤트 시점에 기준타겟에게 발생되는 이펙트</t>
    <phoneticPr fontId="1" type="noConversion"/>
  </si>
  <si>
    <t>기준타겟반경</t>
    <phoneticPr fontId="1" type="noConversion"/>
  </si>
  <si>
    <t>기준타겟주변</t>
    <phoneticPr fontId="1" type="noConversion"/>
  </si>
  <si>
    <t>기준타겟을 중심으로 기준타겟을 제외한 일정반경내 객체를 뜻한다.(도넛모양)</t>
    <phoneticPr fontId="1" type="noConversion"/>
  </si>
  <si>
    <t>기준타겟을 중심으로 일정반경내의 객체를 뜻한다.(원모양)</t>
    <phoneticPr fontId="1" type="noConversion"/>
  </si>
  <si>
    <t>기준타겟이 속해있는 파티원전부를 뜻한다.</t>
    <phoneticPr fontId="1" type="noConversion"/>
  </si>
  <si>
    <t>시전범위</t>
    <phoneticPr fontId="1" type="noConversion"/>
  </si>
  <si>
    <t>시전대상이 기준타겟반경이나 주변일경우 기준타겟으로부터의 반지름.</t>
    <phoneticPr fontId="1" type="noConversion"/>
  </si>
  <si>
    <t>시전대상자가 곧 효과가 발동되어야 할 대상이라면 이것을 선택한다.</t>
    <phoneticPr fontId="1" type="noConversion"/>
  </si>
  <si>
    <t xml:space="preserve"> 발동범위, 발동반경</t>
    <phoneticPr fontId="1" type="noConversion"/>
  </si>
  <si>
    <t>지속시간내내 발동대상들에게 효과가 발동된다. 지속발동은 DOT효과와 비DOT효과가 있는데 DOT효과는 발동간격에 지정한 시간마다 효과가 발동이되며 비DOT형은 매프레임(초당60프레임) 대상들에게 효과가 발동된다.</t>
    <phoneticPr fontId="1" type="noConversion"/>
  </si>
  <si>
    <t>슈팅타겟이펙트타점</t>
    <phoneticPr fontId="1" type="noConversion"/>
  </si>
  <si>
    <t xml:space="preserve">슈팅타겟이펙트의 타점에 효과가 발동된다. </t>
    <phoneticPr fontId="1" type="noConversion"/>
  </si>
  <si>
    <t>DOT,효과를 위한 시간간격. 지속시간이 있는 스킬의 경우 매초마다 효과가 발생해야 한다면 이것을 사용.</t>
    <phoneticPr fontId="1" type="noConversion"/>
  </si>
  <si>
    <t>능력치테이블</t>
    <phoneticPr fontId="1" type="noConversion"/>
  </si>
  <si>
    <t>실수 나열</t>
    <phoneticPr fontId="1" type="noConversion"/>
  </si>
  <si>
    <t>빙결</t>
    <phoneticPr fontId="1" type="noConversion"/>
  </si>
  <si>
    <t>카리브 프로젝트에서는 스킬레벨별로 능력치 보정값이 달라져야 하므로 테이블 형태로 쓴다.</t>
    <phoneticPr fontId="1" type="noConversion"/>
  </si>
  <si>
    <t>스킬 시스템 메뉴얼 2014/12/03</t>
    <phoneticPr fontId="1" type="noConversion"/>
  </si>
  <si>
    <t>추가능력치</t>
    <phoneticPr fontId="1" type="noConversion"/>
  </si>
  <si>
    <t>실수형</t>
    <phoneticPr fontId="1" type="noConversion"/>
  </si>
  <si>
    <t>창병</t>
    <phoneticPr fontId="1" type="noConversion"/>
  </si>
  <si>
    <t>궁수</t>
    <phoneticPr fontId="1" type="noConversion"/>
  </si>
  <si>
    <t>기사</t>
    <phoneticPr fontId="1" type="noConversion"/>
  </si>
  <si>
    <t>미노</t>
    <phoneticPr fontId="1" type="noConversion"/>
  </si>
  <si>
    <t>사이</t>
    <phoneticPr fontId="1" type="noConversion"/>
  </si>
  <si>
    <t>라이</t>
    <phoneticPr fontId="1" type="noConversion"/>
  </si>
  <si>
    <t>골렘</t>
    <phoneticPr fontId="1" type="noConversion"/>
  </si>
  <si>
    <t>앤트</t>
    <phoneticPr fontId="1" type="noConversion"/>
  </si>
  <si>
    <t>타천</t>
    <phoneticPr fontId="1" type="noConversion"/>
  </si>
  <si>
    <t>인간</t>
    <phoneticPr fontId="1" type="noConversion"/>
  </si>
  <si>
    <t>짐승</t>
    <phoneticPr fontId="1" type="noConversion"/>
  </si>
  <si>
    <t>몬스터</t>
    <phoneticPr fontId="1" type="noConversion"/>
  </si>
  <si>
    <t>악마</t>
    <phoneticPr fontId="1" type="noConversion"/>
  </si>
  <si>
    <t>타천사, 미노타우르스</t>
    <phoneticPr fontId="1" type="noConversion"/>
  </si>
  <si>
    <t>창병, 궁수, 기사</t>
    <phoneticPr fontId="1" type="noConversion"/>
  </si>
  <si>
    <t>그 외 모든 유닛</t>
    <phoneticPr fontId="1" type="noConversion"/>
  </si>
  <si>
    <t>직업</t>
    <phoneticPr fontId="1" type="noConversion"/>
  </si>
  <si>
    <t>종족</t>
    <phoneticPr fontId="1" type="noConversion"/>
  </si>
  <si>
    <t>치명타율보정</t>
    <phoneticPr fontId="1" type="noConversion"/>
  </si>
  <si>
    <t>파라메터1</t>
    <phoneticPr fontId="1" type="noConversion"/>
  </si>
  <si>
    <t>파라메터2</t>
    <phoneticPr fontId="1" type="noConversion"/>
  </si>
  <si>
    <t>파라메터3</t>
    <phoneticPr fontId="1" type="noConversion"/>
  </si>
  <si>
    <t>파라메터4</t>
    <phoneticPr fontId="1" type="noConversion"/>
  </si>
  <si>
    <t>추가데미지보정종족/직업의 종족/직업 지정</t>
    <phoneticPr fontId="1" type="noConversion"/>
  </si>
  <si>
    <t>#. 특정 종족에 대한 추가데미지를 보정한다. 종족지정은 "파라메터1"을 이용한다.</t>
    <phoneticPr fontId="1" type="noConversion"/>
  </si>
  <si>
    <t>#. 특정 직업에 대한 추가데미지를 보정한다.</t>
    <phoneticPr fontId="1" type="noConversion"/>
  </si>
  <si>
    <t>스킬효과의 "능력치" 값이 이 보정치에 의해 보정된다.</t>
    <phoneticPr fontId="1" type="noConversion"/>
  </si>
  <si>
    <t>#</t>
    <phoneticPr fontId="1" type="noConversion"/>
  </si>
  <si>
    <t>관통율보정</t>
    <phoneticPr fontId="1" type="noConversion"/>
  </si>
  <si>
    <t>#. 상대의 방어력을 얼마나 무시하는지 값. 100%는 방어력을 완전히 무시한다.</t>
    <phoneticPr fontId="1" type="noConversion"/>
  </si>
  <si>
    <t>효과가 발동대상에게 적용되기전 조건검사를 한다.</t>
    <phoneticPr fontId="1" type="noConversion"/>
  </si>
  <si>
    <t>항상</t>
    <phoneticPr fontId="1" type="noConversion"/>
  </si>
  <si>
    <t>디폴트.</t>
    <phoneticPr fontId="1" type="noConversion"/>
  </si>
  <si>
    <t>버프를 가진자의 공격대상직업을 비교한다.(파라메터1)</t>
    <phoneticPr fontId="1" type="noConversion"/>
  </si>
  <si>
    <t>소형/중형/대형(파라메터2)</t>
    <phoneticPr fontId="1" type="noConversion"/>
  </si>
  <si>
    <t>파라메터3</t>
    <phoneticPr fontId="1" type="noConversion"/>
  </si>
  <si>
    <t>피해보정</t>
    <phoneticPr fontId="1" type="noConversion"/>
  </si>
  <si>
    <t>추가피해율보정종족</t>
    <phoneticPr fontId="1" type="noConversion"/>
  </si>
  <si>
    <t>받는모든피해보정</t>
    <phoneticPr fontId="1" type="noConversion"/>
  </si>
  <si>
    <t>받는근접피해보정</t>
    <phoneticPr fontId="1" type="noConversion"/>
  </si>
  <si>
    <t>받는원거리피해보정</t>
    <phoneticPr fontId="1" type="noConversion"/>
  </si>
  <si>
    <t>기본 0%. -100%는 데미지완전 면역</t>
    <phoneticPr fontId="1" type="noConversion"/>
  </si>
  <si>
    <t>음수로 넣어야함.  양수일경우 피해시마다 hp회복</t>
    <phoneticPr fontId="1" type="noConversion"/>
  </si>
  <si>
    <t>받는마법피해보정</t>
    <phoneticPr fontId="1" type="noConversion"/>
  </si>
  <si>
    <t>받는물리피해보정</t>
    <phoneticPr fontId="1" type="noConversion"/>
  </si>
  <si>
    <t>받는모든치명타피해보정</t>
    <phoneticPr fontId="1" type="noConversion"/>
  </si>
  <si>
    <t>받는근접치명타피해보정</t>
    <phoneticPr fontId="1" type="noConversion"/>
  </si>
  <si>
    <t>받는원거리치명타피해보정</t>
    <phoneticPr fontId="1" type="noConversion"/>
  </si>
  <si>
    <t>치명타 데미지만 감소시킨다. 기본 0%. -100%는 데미지완전 면역</t>
    <phoneticPr fontId="1" type="noConversion"/>
  </si>
  <si>
    <t>원거리공격시</t>
    <phoneticPr fontId="1" type="noConversion"/>
  </si>
  <si>
    <t>원거리 평타공격이 대상에게 적중할때</t>
    <phoneticPr fontId="1" type="noConversion"/>
  </si>
  <si>
    <t>원거리타격시</t>
    <phoneticPr fontId="1" type="noConversion"/>
  </si>
  <si>
    <t>지속이펙트</t>
    <phoneticPr fontId="1" type="noConversion"/>
  </si>
  <si>
    <t>지속이펙트id</t>
    <phoneticPr fontId="1" type="noConversion"/>
  </si>
  <si>
    <t>지속이펙트반복</t>
    <phoneticPr fontId="1" type="noConversion"/>
  </si>
  <si>
    <t>발동 대상에 생성되는 sfx위치를 지정한다.</t>
    <phoneticPr fontId="1" type="noConversion"/>
  </si>
  <si>
    <t xml:space="preserve">발동대상들 각각이 발동효과를 받을때 지속시간동안 유지되는 sfx를 지정한다. </t>
    <phoneticPr fontId="1" type="noConversion"/>
  </si>
  <si>
    <t>전투시작시</t>
    <phoneticPr fontId="1" type="noConversion"/>
  </si>
  <si>
    <t>전투가 시작될때 발동한다.</t>
    <phoneticPr fontId="1" type="noConversion"/>
  </si>
  <si>
    <t>가장체력이적은파티</t>
    <phoneticPr fontId="1" type="noConversion"/>
  </si>
  <si>
    <t>가장체력이많은파티</t>
    <phoneticPr fontId="1" type="noConversion"/>
  </si>
  <si>
    <t>랜덤파티</t>
    <phoneticPr fontId="1" type="noConversion"/>
  </si>
  <si>
    <t>기준타겟우호에 따라 아군군단이나 적군단에서 랜덤한 파티를 선택한다.</t>
    <phoneticPr fontId="1" type="noConversion"/>
  </si>
  <si>
    <t>시전대상자를 제외한 반경내 객체들이 대상이 된다. 범위는 "발동범위"로 지정한다.</t>
  </si>
  <si>
    <t>현재공격타겟</t>
    <phoneticPr fontId="1" type="noConversion"/>
  </si>
  <si>
    <t>현재 공격중인 대상에게 발동된다.</t>
    <phoneticPr fontId="1" type="noConversion"/>
  </si>
  <si>
    <t>목표도착시</t>
    <phoneticPr fontId="1" type="noConversion"/>
  </si>
  <si>
    <t>공격타겟으로 이동하다가 목표에 도착했을때.</t>
    <phoneticPr fontId="1" type="noConversion"/>
  </si>
  <si>
    <t>발동주기</t>
    <phoneticPr fontId="1" type="noConversion"/>
  </si>
  <si>
    <t>스킬식별자. 스킬xml에 지정된 스킬식별자를 지정한다. 대소문자는 무시된다. 주의할점은 발동스킬은 반드시 액티브 형으로 지정되어야 한다.
발동스킬의 기준타겟은 발동대상이 된다.</t>
    <phoneticPr fontId="1" type="noConversion"/>
  </si>
  <si>
    <t>문자열</t>
    <phoneticPr fontId="1" type="noConversion"/>
  </si>
  <si>
    <t>발동시점스킬의 스킬이 발동되면 이 스킬이 함께 발동된다.</t>
    <phoneticPr fontId="1" type="noConversion"/>
  </si>
  <si>
    <t>적으로부터 맞았을때 발동된다. 근접/원거리 모두 포함이다.</t>
    <phoneticPr fontId="1" type="noConversion"/>
  </si>
  <si>
    <t>근접한 적으로부터 맞았을때 발동된다.</t>
    <phoneticPr fontId="1" type="noConversion"/>
  </si>
  <si>
    <t>원거리피격시</t>
    <phoneticPr fontId="1" type="noConversion"/>
  </si>
  <si>
    <t>원거리 적으로부터 맞았을때 발동된다.</t>
    <phoneticPr fontId="1" type="noConversion"/>
  </si>
  <si>
    <t>타격자</t>
    <phoneticPr fontId="1" type="noConversion"/>
  </si>
  <si>
    <t>이 스킬이 적용된 자를 공격한자에게 발동된다.</t>
    <phoneticPr fontId="1" type="noConversion"/>
  </si>
  <si>
    <t>피격자</t>
    <phoneticPr fontId="1" type="noConversion"/>
  </si>
  <si>
    <t>이 스킬이 적용된자에게 발동된다. 시전대상과 같다.</t>
    <phoneticPr fontId="1" type="noConversion"/>
  </si>
  <si>
    <t>소형/중형/대형공속보정</t>
    <phoneticPr fontId="1" type="noConversion"/>
  </si>
  <si>
    <t>해당크기 유닛을 상대로 공격속도가 보정된다.</t>
    <phoneticPr fontId="1" type="noConversion"/>
  </si>
  <si>
    <t>도발</t>
    <phoneticPr fontId="1" type="noConversion"/>
  </si>
  <si>
    <t>일정시간동안 도발되어 타겟을 바꾸지 않는다.</t>
    <phoneticPr fontId="1" type="noConversion"/>
  </si>
  <si>
    <t>발동대상우호에 따라 적이나 아군의 파티중에 랜덤으로 선택된다.</t>
    <phoneticPr fontId="1" type="noConversion"/>
  </si>
  <si>
    <t>모든아군</t>
    <phoneticPr fontId="1" type="noConversion"/>
  </si>
  <si>
    <t>병과</t>
    <phoneticPr fontId="1" type="noConversion"/>
  </si>
  <si>
    <t>병과</t>
    <phoneticPr fontId="1" type="noConversion"/>
  </si>
  <si>
    <t>탱커</t>
    <phoneticPr fontId="1" type="noConversion"/>
  </si>
  <si>
    <t>원거리</t>
    <phoneticPr fontId="1" type="noConversion"/>
  </si>
  <si>
    <t>스피드</t>
    <phoneticPr fontId="1" type="noConversion"/>
  </si>
  <si>
    <t>쿨타임보정
재사용대기시간보정</t>
    <phoneticPr fontId="1" type="noConversion"/>
  </si>
  <si>
    <t>쿨타임을 줄이고 싶다면 마이너스값을 넣는다. 단위는 초단위혹은 %단위</t>
    <phoneticPr fontId="1" type="noConversion"/>
  </si>
  <si>
    <t>탱커형/원거리형/스피드형피해보정</t>
    <phoneticPr fontId="1" type="noConversion"/>
  </si>
  <si>
    <t>해당 유닛을 상대로 보정된다.</t>
    <phoneticPr fontId="1" type="noConversion"/>
  </si>
  <si>
    <t>피격시/모든피격시</t>
    <phoneticPr fontId="1" type="noConversion"/>
  </si>
  <si>
    <t>체력이하</t>
    <phoneticPr fontId="1" type="noConversion"/>
  </si>
  <si>
    <t>체력이 일정수준 이하가 되면 발동된다. 체력은 "파라메터1"을 사용. 100분율. 사용하기 위해선 OnEventJuncture( xJC_HP_UNDER )가 구현되어 있어야 한다.</t>
    <phoneticPr fontId="1" type="noConversion"/>
  </si>
  <si>
    <t>시전대상</t>
    <phoneticPr fontId="1" type="noConversion"/>
  </si>
  <si>
    <t>시전대상반경</t>
    <phoneticPr fontId="1" type="noConversion"/>
  </si>
  <si>
    <t>시전대상주변</t>
    <phoneticPr fontId="1" type="noConversion"/>
  </si>
  <si>
    <t>모든공격시</t>
    <phoneticPr fontId="1" type="noConversion"/>
  </si>
  <si>
    <t>소형/중형/대형피해보정</t>
    <phoneticPr fontId="1" type="noConversion"/>
  </si>
  <si>
    <t>해당크기 유닛을 상대로 데미지가 보정된다.</t>
    <phoneticPr fontId="1" type="noConversion"/>
  </si>
  <si>
    <t>(유닛명)피해보정</t>
    <phoneticPr fontId="1" type="noConversion"/>
  </si>
  <si>
    <t>해당 유닛을 상대로 데미지가 보정된다. 창병/궁수/기사/미노/사이/라이/골렘/앤트/타천</t>
    <phoneticPr fontId="1" type="noConversion"/>
  </si>
  <si>
    <t>추가피해율보정직업</t>
    <phoneticPr fontId="1" type="noConversion"/>
  </si>
  <si>
    <t>공속보정계열의 경우 보정량만 써주는 10%, -10%이런식으로 사용한다.</t>
    <phoneticPr fontId="1" type="noConversion"/>
  </si>
  <si>
    <t>****주의사항******</t>
    <phoneticPr fontId="1" type="noConversion"/>
  </si>
  <si>
    <t>공속</t>
    <phoneticPr fontId="1" type="noConversion"/>
  </si>
  <si>
    <t>곱할값</t>
    <phoneticPr fontId="1" type="noConversion"/>
  </si>
  <si>
    <t>공속</t>
    <phoneticPr fontId="1" type="noConversion"/>
  </si>
  <si>
    <t>공속증가</t>
    <phoneticPr fontId="1" type="noConversion"/>
  </si>
  <si>
    <t>공속감소</t>
    <phoneticPr fontId="1" type="noConversion"/>
  </si>
  <si>
    <t>3배</t>
    <phoneticPr fontId="1" type="noConversion"/>
  </si>
  <si>
    <t>2배</t>
    <phoneticPr fontId="1" type="noConversion"/>
  </si>
  <si>
    <t>최종공속</t>
    <phoneticPr fontId="1" type="noConversion"/>
  </si>
  <si>
    <t>증가량변환</t>
    <phoneticPr fontId="1" type="noConversion"/>
  </si>
  <si>
    <t>공속감소</t>
    <phoneticPr fontId="1" type="noConversion"/>
  </si>
  <si>
    <t>최종공속</t>
    <phoneticPr fontId="1" type="noConversion"/>
  </si>
  <si>
    <t xml:space="preserve"> 발동조건스킬</t>
    <phoneticPr fontId="1" type="noConversion"/>
  </si>
  <si>
    <t>문자열</t>
    <phoneticPr fontId="1" type="noConversion"/>
  </si>
  <si>
    <t>발동시점스킬
strInvokeTimeSkill</t>
    <phoneticPr fontId="1" type="noConversion"/>
  </si>
  <si>
    <t>이 스킬이 발동되려면 "발동조건스킬"의 버프를 갖고 있어야 한다.</t>
    <phoneticPr fontId="1" type="noConversion"/>
  </si>
  <si>
    <t>기준타겟으로 잡힌 대상이 시전대상이 된다.</t>
    <phoneticPr fontId="1" type="noConversion"/>
  </si>
  <si>
    <t>시전대상위치</t>
    <phoneticPr fontId="1" type="noConversion"/>
  </si>
  <si>
    <t>시전대상이 있던 위치에 생성된다.</t>
    <phoneticPr fontId="1" type="noConversion"/>
  </si>
  <si>
    <t>기준타겟위치</t>
    <phoneticPr fontId="1" type="noConversion"/>
  </si>
  <si>
    <t>기준타겟이 있던 위치에 시전된다.</t>
    <phoneticPr fontId="1" type="noConversion"/>
  </si>
  <si>
    <t>단위(초). 시전대상이 버프 혹은 디버프를 받은 후 그 효과가 몇초간 지속될 것인지를 지정.  액티브스킬중에서 지속시간을 무한대로 가져가고 싶다면 9999를 넣는다.  레벨마다 다른 확률을 지정할 수 있다.</t>
    <phoneticPr fontId="1" type="noConversion"/>
  </si>
  <si>
    <t>보정치 %형태로 가감</t>
    <phoneticPr fontId="1" type="noConversion"/>
  </si>
  <si>
    <t>보정치를 고정값으로 가감</t>
    <phoneticPr fontId="1" type="noConversion"/>
  </si>
  <si>
    <t>해당 능력치를 무조건 이값으로 강제보정. 예를들어 HP를 1만 남기고 폭발하는 공격스킬이 있다고 하면 이 옵션을 사용해야 한다.</t>
    <phoneticPr fontId="1" type="noConversion"/>
  </si>
  <si>
    <t>각 스킬레벨별 능력치를 나열한다.
1:10 2:20 3:30 ….. 10:100
과 같은식으로 표현. 레벨이 없는경우는 "레벨:"없이 숫자하나만 쓴다.</t>
    <phoneticPr fontId="1" type="noConversion"/>
  </si>
  <si>
    <t>시전대상자가 어떤 대상을 근접공격으로 공격할때 스킬효과가 발동된다. 이때 따로지정하지 않으면 시전대상은 피격자로 바뀐다.</t>
    <phoneticPr fontId="1" type="noConversion"/>
  </si>
  <si>
    <t>원거리 평타공격시 발사체에 발동스킬을 실어보낼필요가 있을때.(예:냉기폭발화살) 이때 따로지정하지 않으면 시전대상은 피격자로 바뀐다.</t>
    <phoneticPr fontId="1" type="noConversion"/>
  </si>
  <si>
    <t xml:space="preserve">근접/원거리 공격시 발동한다. </t>
    <phoneticPr fontId="1" type="noConversion"/>
  </si>
  <si>
    <t>이와 함께 발동대상을 피격자 혹은 타격자로 명시 해줘야 한다. 따로지정하지 않으면 시전대상은 피격자로 바뀐다.</t>
    <phoneticPr fontId="1" type="noConversion"/>
  </si>
  <si>
    <t>최초</t>
    <phoneticPr fontId="1" type="noConversion"/>
  </si>
  <si>
    <t>사거리보정</t>
    <phoneticPr fontId="1" type="noConversion"/>
  </si>
  <si>
    <t>발동조건(블록)</t>
    <phoneticPr fontId="1" type="noConversion"/>
  </si>
  <si>
    <t>크기</t>
    <phoneticPr fontId="1" type="noConversion"/>
  </si>
  <si>
    <t>직업</t>
    <phoneticPr fontId="1" type="noConversion"/>
  </si>
  <si>
    <t>종족</t>
    <phoneticPr fontId="1" type="noConversion"/>
  </si>
  <si>
    <t>소형/중형/대형회피율보정</t>
    <phoneticPr fontId="1" type="noConversion"/>
  </si>
  <si>
    <t>해당크기 유닛을 상대로 회피율이 보정된다.</t>
    <phoneticPr fontId="1" type="noConversion"/>
  </si>
  <si>
    <t>받는치명타율보정</t>
    <phoneticPr fontId="1" type="noConversion"/>
  </si>
  <si>
    <t># 공격자의 치명타성공율을 보정한다.</t>
    <phoneticPr fontId="1" type="noConversion"/>
  </si>
  <si>
    <t># 피격자가 피해를 받을때 치명타로 전환될 확률을 보정한다.</t>
    <phoneticPr fontId="1" type="noConversion"/>
  </si>
  <si>
    <t>흡혈양보정</t>
    <phoneticPr fontId="1" type="noConversion"/>
  </si>
  <si>
    <t>피해를 입힐때 흡혈될 데미지비율을 보정한다.</t>
    <phoneticPr fontId="1" type="noConversion"/>
  </si>
  <si>
    <t>적중율보정</t>
    <phoneticPr fontId="1" type="noConversion"/>
  </si>
  <si>
    <t># 공격자의 일반타격 명중률을 보정한다. 줄어드는양을 기입해야한다. 예)명중률90%-&gt;-10%</t>
    <phoneticPr fontId="1" type="noConversion"/>
  </si>
  <si>
    <t>지속이펙트는 특성상 무조건 반복이다. 따로 지정하지 않는다</t>
    <phoneticPr fontId="1" type="noConversion"/>
  </si>
  <si>
    <t>기준타겟리더</t>
    <phoneticPr fontId="1" type="noConversion"/>
  </si>
  <si>
    <t>기준타겟파티의 리더가 기준타겟으로 바뀐다.</t>
    <phoneticPr fontId="1" type="noConversion"/>
  </si>
  <si>
    <t>하드코딩</t>
    <phoneticPr fontId="1" type="noConversion"/>
  </si>
  <si>
    <t>하드코딩으로 효과를 발생시킨다</t>
    <phoneticPr fontId="1" type="noConversion"/>
  </si>
  <si>
    <t>보정량만 써주는 10%, -10%이런식으로 사용한다. 2배빠름(100%),2배느림(-100%)</t>
    <phoneticPr fontId="1" type="noConversion"/>
  </si>
  <si>
    <t xml:space="preserve">시전위치
즉시(쿨타임혹은 사용버튼눌렀을때)
기준타겟근접(기준타겟이 사거리 이내일때)
공격타겟근접(현재공격 대상이 사거리 이내일때)
</t>
    <phoneticPr fontId="1" type="noConversion"/>
  </si>
  <si>
    <t>시전위치</t>
    <phoneticPr fontId="1" type="noConversion"/>
  </si>
  <si>
    <t>즉시</t>
    <phoneticPr fontId="1" type="noConversion"/>
  </si>
  <si>
    <t>기준타겟근접</t>
    <phoneticPr fontId="1" type="noConversion"/>
  </si>
  <si>
    <t>공격타겟근접</t>
    <phoneticPr fontId="1" type="noConversion"/>
  </si>
  <si>
    <t>쿨타임 혹은 스킬사용버튼시 즉시 발동된다(주로 자신에게 거는 버프류)</t>
    <phoneticPr fontId="1" type="noConversion"/>
  </si>
  <si>
    <t>현재공격대상이 사거리 이내일때발동. 기준타겟이 자신인 범위공격류에게 사용)</t>
    <phoneticPr fontId="1" type="noConversion"/>
  </si>
  <si>
    <t>기준타겟이 사거리 이내라면 발동된다(기준타겟이 현재타겟인 공격스킬의 경우 주로사용)</t>
    <phoneticPr fontId="1" type="noConversion"/>
  </si>
  <si>
    <t>지속이펙트생성지점</t>
    <phoneticPr fontId="1" type="noConversion"/>
  </si>
  <si>
    <t>지속이펙트가 생성되는 지점을 지정한다.</t>
    <phoneticPr fontId="1" type="noConversion"/>
  </si>
  <si>
    <t>발동대상의 중심에 생성된다</t>
    <phoneticPr fontId="1" type="noConversion"/>
  </si>
  <si>
    <t>발동대상의 머리위에 생성된다.</t>
    <phoneticPr fontId="1" type="noConversion"/>
  </si>
  <si>
    <t>타겟좌표</t>
    <phoneticPr fontId="1" type="noConversion"/>
  </si>
  <si>
    <t>발동대상의 바닥에 생성된다.(지면에 깔리는류이므로 유닛들보다 먼저 그려진다)</t>
    <phoneticPr fontId="1" type="noConversion"/>
  </si>
  <si>
    <t>타겟중심추적</t>
    <phoneticPr fontId="1" type="noConversion"/>
  </si>
  <si>
    <t>발동대상의 중앙좌표를 따라다닌다.</t>
    <phoneticPr fontId="1" type="noConversion"/>
  </si>
  <si>
    <t>발동대상을 발밑좌표를 따라다닌다</t>
    <phoneticPr fontId="1" type="noConversion"/>
  </si>
  <si>
    <t>화염피해보정</t>
    <phoneticPr fontId="1" type="noConversion"/>
  </si>
  <si>
    <t>화염속성의 피해를 보정시킨다.</t>
    <phoneticPr fontId="1" type="noConversion"/>
  </si>
  <si>
    <t>실수형(백분율)</t>
    <phoneticPr fontId="1" type="noConversion"/>
  </si>
  <si>
    <t>스킬이 발동될때 발동대상에게 적용전 확률을 지정할 수 있다.</t>
    <phoneticPr fontId="1" type="noConversion"/>
  </si>
  <si>
    <t>스킬이 시전자측에게 발동될때 디폴트로는 100%로 발동이 되지만 이 옵션으로 확률을 지정할 수 있다. 레벨마다 다른 확률을 지정할 수 있다.</t>
    <phoneticPr fontId="1" type="noConversion"/>
  </si>
  <si>
    <t>발동적용확률</t>
    <phoneticPr fontId="1" type="noConversion"/>
  </si>
  <si>
    <t>발동대상이펙트</t>
    <phoneticPr fontId="1" type="noConversion"/>
  </si>
  <si>
    <t>발동대상이펙트id</t>
    <phoneticPr fontId="1" type="noConversion"/>
  </si>
  <si>
    <t>발동대상이펙트생성지점</t>
    <phoneticPr fontId="1" type="noConversion"/>
  </si>
  <si>
    <t>발동자이펙트</t>
    <phoneticPr fontId="1" type="noConversion"/>
  </si>
  <si>
    <t>발동자이펙트id</t>
    <phoneticPr fontId="1" type="noConversion"/>
  </si>
  <si>
    <t>발동자이펙트생성지점</t>
    <phoneticPr fontId="1" type="noConversion"/>
  </si>
  <si>
    <t>효과가 발동될때 발동자측에 발생하는 sfx를 지정한다. DOT형이 아닌 지속성 스킬은 발동이펙트가 생성되지 않는다.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</si>
</sst>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_ "/>
  </numFmts>
  <fonts count="2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color rgb="FFFF0000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trike/>
      <sz val="8"/>
      <color rgb="FFFF0000"/>
      <name val="맑은 고딕"/>
      <family val="3"/>
      <charset val="129"/>
      <scheme val="minor"/>
    </font>
    <font>
      <b/>
      <strike/>
      <sz val="9"/>
      <color rgb="FFFF0000"/>
      <name val="맑은 고딕"/>
      <family val="3"/>
      <charset val="129"/>
      <scheme val="minor"/>
    </font>
    <font>
      <strike/>
      <sz val="8"/>
      <color rgb="FFFF0000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trike/>
      <sz val="8"/>
      <name val="맑은 고딕"/>
      <family val="3"/>
      <charset val="129"/>
      <scheme val="minor"/>
    </font>
    <font>
      <strike/>
      <sz val="8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1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/>
      <diagonal/>
    </border>
    <border>
      <left style="thick">
        <color auto="1"/>
      </left>
      <right style="thick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1">
    <xf numFmtId="0" fontId="0" fillId="0" borderId="0" xfId="0">
      <alignment vertical="center"/>
    </xf>
    <xf numFmtId="0" fontId="2" fillId="0" borderId="0" xfId="0" applyFont="1" applyAlignment="1">
      <alignment vertical="top" wrapText="1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0" borderId="2" xfId="0" applyFont="1" applyBorder="1" applyAlignment="1">
      <alignment vertical="top" wrapText="1"/>
    </xf>
    <xf numFmtId="0" fontId="3" fillId="0" borderId="2" xfId="0" applyFont="1" applyBorder="1" applyAlignment="1">
      <alignment vertical="top" wrapText="1"/>
    </xf>
    <xf numFmtId="0" fontId="2" fillId="0" borderId="3" xfId="0" applyFont="1" applyBorder="1" applyAlignment="1">
      <alignment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0" fontId="3" fillId="2" borderId="2" xfId="0" applyFont="1" applyFill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 wrapText="1"/>
    </xf>
    <xf numFmtId="0" fontId="8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center" vertical="top" wrapText="1"/>
    </xf>
    <xf numFmtId="0" fontId="5" fillId="0" borderId="0" xfId="0" applyFont="1" applyAlignment="1">
      <alignment vertical="top" wrapText="1"/>
    </xf>
    <xf numFmtId="0" fontId="8" fillId="0" borderId="2" xfId="0" applyFont="1" applyBorder="1" applyAlignment="1">
      <alignment horizontal="center" vertical="top" wrapText="1"/>
    </xf>
    <xf numFmtId="0" fontId="8" fillId="0" borderId="6" xfId="0" applyFont="1" applyBorder="1" applyAlignment="1">
      <alignment horizontal="center" vertical="top" wrapText="1"/>
    </xf>
    <xf numFmtId="0" fontId="3" fillId="0" borderId="7" xfId="0" applyFont="1" applyBorder="1" applyAlignment="1">
      <alignment horizontal="left" vertical="top" wrapText="1"/>
    </xf>
    <xf numFmtId="0" fontId="5" fillId="0" borderId="10" xfId="0" applyFont="1" applyBorder="1" applyAlignment="1">
      <alignment vertical="top" wrapText="1"/>
    </xf>
    <xf numFmtId="0" fontId="8" fillId="0" borderId="5" xfId="0" applyFont="1" applyBorder="1" applyAlignment="1">
      <alignment horizontal="center" vertical="top" wrapText="1"/>
    </xf>
    <xf numFmtId="0" fontId="8" fillId="0" borderId="4" xfId="0" applyFont="1" applyBorder="1" applyAlignment="1">
      <alignment horizontal="center" vertical="top" wrapText="1"/>
    </xf>
    <xf numFmtId="0" fontId="3" fillId="0" borderId="10" xfId="0" applyFont="1" applyBorder="1" applyAlignment="1">
      <alignment horizontal="left" vertical="top" wrapText="1"/>
    </xf>
    <xf numFmtId="0" fontId="3" fillId="2" borderId="4" xfId="0" applyFont="1" applyFill="1" applyBorder="1" applyAlignment="1">
      <alignment vertical="top" wrapText="1"/>
    </xf>
    <xf numFmtId="0" fontId="9" fillId="0" borderId="6" xfId="0" applyFont="1" applyBorder="1" applyAlignment="1">
      <alignment horizontal="center" vertical="top" wrapText="1"/>
    </xf>
    <xf numFmtId="0" fontId="8" fillId="0" borderId="8" xfId="0" applyFont="1" applyBorder="1" applyAlignment="1">
      <alignment horizontal="center" vertical="top" wrapText="1"/>
    </xf>
    <xf numFmtId="0" fontId="7" fillId="0" borderId="10" xfId="0" applyFont="1" applyBorder="1" applyAlignment="1">
      <alignment vertical="top" wrapText="1"/>
    </xf>
    <xf numFmtId="0" fontId="3" fillId="0" borderId="7" xfId="0" applyFont="1" applyBorder="1" applyAlignment="1">
      <alignment horizontal="center" vertical="top" wrapText="1"/>
    </xf>
    <xf numFmtId="0" fontId="10" fillId="0" borderId="2" xfId="0" applyFont="1" applyBorder="1" applyAlignment="1">
      <alignment vertical="top" wrapText="1"/>
    </xf>
    <xf numFmtId="0" fontId="11" fillId="0" borderId="6" xfId="0" applyFont="1" applyBorder="1" applyAlignment="1">
      <alignment horizontal="center" vertical="top" wrapText="1"/>
    </xf>
    <xf numFmtId="0" fontId="10" fillId="0" borderId="10" xfId="0" applyFont="1" applyBorder="1" applyAlignment="1">
      <alignment vertical="top" wrapText="1"/>
    </xf>
    <xf numFmtId="0" fontId="12" fillId="0" borderId="0" xfId="0" applyFont="1">
      <alignment vertical="center"/>
    </xf>
    <xf numFmtId="0" fontId="2" fillId="0" borderId="0" xfId="0" applyFont="1">
      <alignment vertical="center"/>
    </xf>
    <xf numFmtId="0" fontId="3" fillId="0" borderId="14" xfId="0" applyFont="1" applyBorder="1" applyAlignment="1">
      <alignment horizontal="justify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justify" vertical="center" wrapText="1"/>
    </xf>
    <xf numFmtId="0" fontId="3" fillId="0" borderId="17" xfId="0" applyFont="1" applyBorder="1" applyAlignment="1">
      <alignment horizontal="justify" vertical="center" wrapText="1"/>
    </xf>
    <xf numFmtId="0" fontId="3" fillId="0" borderId="15" xfId="0" applyFont="1" applyBorder="1" applyAlignment="1">
      <alignment horizontal="justify" vertical="center" wrapText="1"/>
    </xf>
    <xf numFmtId="0" fontId="3" fillId="0" borderId="18" xfId="0" applyFont="1" applyBorder="1" applyAlignment="1">
      <alignment horizontal="justify" vertical="center" wrapText="1"/>
    </xf>
    <xf numFmtId="0" fontId="5" fillId="0" borderId="18" xfId="0" applyFont="1" applyBorder="1" applyAlignment="1">
      <alignment horizontal="center" vertical="center" wrapText="1"/>
    </xf>
    <xf numFmtId="0" fontId="2" fillId="0" borderId="15" xfId="0" applyFont="1" applyBorder="1">
      <alignment vertic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5" fillId="0" borderId="15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3" borderId="0" xfId="0" applyFont="1" applyFill="1">
      <alignment vertical="center"/>
    </xf>
    <xf numFmtId="0" fontId="2" fillId="0" borderId="0" xfId="0" applyFont="1" applyFill="1">
      <alignment vertical="center"/>
    </xf>
    <xf numFmtId="0" fontId="2" fillId="0" borderId="15" xfId="0" applyFont="1" applyFill="1" applyBorder="1">
      <alignment vertical="center"/>
    </xf>
    <xf numFmtId="0" fontId="2" fillId="0" borderId="15" xfId="0" applyFont="1" applyFill="1" applyBorder="1" applyAlignment="1">
      <alignment vertical="center"/>
    </xf>
    <xf numFmtId="0" fontId="5" fillId="0" borderId="18" xfId="0" applyFont="1" applyFill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0" fontId="2" fillId="0" borderId="18" xfId="0" applyFont="1" applyBorder="1">
      <alignment vertical="center"/>
    </xf>
    <xf numFmtId="0" fontId="2" fillId="0" borderId="0" xfId="0" applyFont="1" applyFill="1" applyBorder="1">
      <alignment vertical="center"/>
    </xf>
    <xf numFmtId="0" fontId="7" fillId="0" borderId="18" xfId="0" applyFont="1" applyBorder="1" applyAlignment="1">
      <alignment horizontal="center" vertical="center"/>
    </xf>
    <xf numFmtId="0" fontId="2" fillId="0" borderId="8" xfId="0" applyFont="1" applyBorder="1" applyAlignment="1">
      <alignment horizontal="left" vertical="top" wrapText="1"/>
    </xf>
    <xf numFmtId="0" fontId="8" fillId="0" borderId="4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Fill="1" applyBorder="1" applyAlignment="1">
      <alignment horizontal="center" vertical="center"/>
    </xf>
    <xf numFmtId="0" fontId="2" fillId="0" borderId="19" xfId="0" applyFont="1" applyFill="1" applyBorder="1">
      <alignment vertical="center"/>
    </xf>
    <xf numFmtId="0" fontId="2" fillId="4" borderId="15" xfId="0" applyFont="1" applyFill="1" applyBorder="1">
      <alignment vertical="center"/>
    </xf>
    <xf numFmtId="0" fontId="5" fillId="0" borderId="15" xfId="0" applyFont="1" applyFill="1" applyBorder="1" applyAlignment="1">
      <alignment horizontal="center" vertical="center"/>
    </xf>
    <xf numFmtId="0" fontId="2" fillId="3" borderId="15" xfId="0" applyFont="1" applyFill="1" applyBorder="1">
      <alignment vertical="center"/>
    </xf>
    <xf numFmtId="0" fontId="2" fillId="3" borderId="0" xfId="0" applyFont="1" applyFill="1" applyBorder="1">
      <alignment vertical="center"/>
    </xf>
    <xf numFmtId="0" fontId="2" fillId="3" borderId="19" xfId="0" applyFont="1" applyFill="1" applyBorder="1">
      <alignment vertical="center"/>
    </xf>
    <xf numFmtId="0" fontId="5" fillId="0" borderId="23" xfId="0" applyFont="1" applyFill="1" applyBorder="1" applyAlignment="1">
      <alignment vertical="center"/>
    </xf>
    <xf numFmtId="0" fontId="5" fillId="3" borderId="19" xfId="0" applyFont="1" applyFill="1" applyBorder="1" applyAlignment="1">
      <alignment vertical="center"/>
    </xf>
    <xf numFmtId="0" fontId="5" fillId="0" borderId="19" xfId="0" applyFont="1" applyBorder="1" applyAlignment="1">
      <alignment vertical="center"/>
    </xf>
    <xf numFmtId="0" fontId="5" fillId="0" borderId="19" xfId="0" applyFont="1" applyFill="1" applyBorder="1" applyAlignment="1">
      <alignment vertical="center"/>
    </xf>
    <xf numFmtId="0" fontId="5" fillId="0" borderId="4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2" fillId="0" borderId="4" xfId="0" applyFont="1" applyBorder="1" applyAlignment="1">
      <alignment vertical="top" wrapText="1"/>
    </xf>
    <xf numFmtId="0" fontId="2" fillId="0" borderId="5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8" fillId="0" borderId="5" xfId="0" applyFont="1" applyBorder="1" applyAlignment="1">
      <alignment horizontal="center" vertical="top" wrapText="1"/>
    </xf>
    <xf numFmtId="0" fontId="11" fillId="0" borderId="4" xfId="0" applyFont="1" applyBorder="1" applyAlignment="1">
      <alignment horizontal="center" vertical="top" wrapText="1"/>
    </xf>
    <xf numFmtId="0" fontId="11" fillId="0" borderId="2" xfId="0" applyFont="1" applyBorder="1" applyAlignment="1">
      <alignment horizontal="center" vertical="top" wrapText="1"/>
    </xf>
    <xf numFmtId="0" fontId="10" fillId="0" borderId="10" xfId="0" applyFont="1" applyBorder="1" applyAlignment="1">
      <alignment horizontal="left" vertical="top" wrapText="1"/>
    </xf>
    <xf numFmtId="0" fontId="11" fillId="0" borderId="8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top" wrapText="1"/>
    </xf>
    <xf numFmtId="0" fontId="12" fillId="0" borderId="10" xfId="0" applyFont="1" applyBorder="1" applyAlignment="1">
      <alignment horizontal="left" vertical="top" wrapText="1"/>
    </xf>
    <xf numFmtId="0" fontId="3" fillId="0" borderId="6" xfId="0" applyFont="1" applyBorder="1" applyAlignment="1">
      <alignment horizontal="center" vertical="top" wrapText="1"/>
    </xf>
    <xf numFmtId="0" fontId="17" fillId="0" borderId="2" xfId="0" applyFont="1" applyBorder="1" applyAlignment="1">
      <alignment vertical="top" wrapText="1"/>
    </xf>
    <xf numFmtId="0" fontId="8" fillId="0" borderId="4" xfId="0" applyFont="1" applyBorder="1" applyAlignment="1">
      <alignment horizontal="center" vertical="top" wrapText="1"/>
    </xf>
    <xf numFmtId="0" fontId="9" fillId="0" borderId="4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center" vertical="top" wrapText="1"/>
    </xf>
    <xf numFmtId="0" fontId="2" fillId="0" borderId="8" xfId="0" applyFont="1" applyBorder="1" applyAlignment="1">
      <alignment horizontal="center" vertical="top" wrapText="1"/>
    </xf>
    <xf numFmtId="0" fontId="2" fillId="0" borderId="24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left" vertical="top" wrapText="1"/>
    </xf>
    <xf numFmtId="0" fontId="19" fillId="0" borderId="10" xfId="0" applyFont="1" applyBorder="1" applyAlignment="1">
      <alignment vertical="top" wrapText="1"/>
    </xf>
    <xf numFmtId="0" fontId="20" fillId="0" borderId="2" xfId="0" applyFont="1" applyBorder="1" applyAlignment="1">
      <alignment vertical="top" wrapText="1"/>
    </xf>
    <xf numFmtId="0" fontId="3" fillId="0" borderId="8" xfId="0" applyFont="1" applyBorder="1" applyAlignment="1">
      <alignment horizontal="center" vertical="top" wrapText="1"/>
    </xf>
    <xf numFmtId="0" fontId="2" fillId="0" borderId="2" xfId="0" applyFont="1" applyBorder="1" applyAlignment="1">
      <alignment horizontal="left" vertical="top" wrapText="1"/>
    </xf>
    <xf numFmtId="0" fontId="5" fillId="0" borderId="8" xfId="0" applyFont="1" applyBorder="1" applyAlignment="1">
      <alignment vertical="top" wrapText="1"/>
    </xf>
    <xf numFmtId="0" fontId="8" fillId="3" borderId="6" xfId="0" applyFont="1" applyFill="1" applyBorder="1" applyAlignment="1">
      <alignment horizontal="center" vertical="top" wrapText="1"/>
    </xf>
    <xf numFmtId="0" fontId="21" fillId="3" borderId="6" xfId="0" applyFont="1" applyFill="1" applyBorder="1" applyAlignment="1">
      <alignment horizontal="center" vertical="top" wrapText="1"/>
    </xf>
    <xf numFmtId="0" fontId="21" fillId="3" borderId="1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left" vertical="top" wrapText="1"/>
    </xf>
    <xf numFmtId="0" fontId="22" fillId="0" borderId="10" xfId="0" applyFont="1" applyBorder="1" applyAlignment="1">
      <alignment horizontal="left" vertical="top" wrapText="1"/>
    </xf>
    <xf numFmtId="0" fontId="22" fillId="0" borderId="2" xfId="0" applyFont="1" applyBorder="1" applyAlignment="1">
      <alignment vertical="top" wrapText="1"/>
    </xf>
    <xf numFmtId="176" fontId="3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176" fontId="12" fillId="0" borderId="0" xfId="0" applyNumberFormat="1" applyFont="1">
      <alignment vertical="center"/>
    </xf>
    <xf numFmtId="176" fontId="3" fillId="0" borderId="0" xfId="0" applyNumberFormat="1" applyFont="1" applyAlignment="1">
      <alignment horizontal="right" vertical="center"/>
    </xf>
    <xf numFmtId="176" fontId="3" fillId="3" borderId="0" xfId="0" applyNumberFormat="1" applyFont="1" applyFill="1">
      <alignment vertical="center"/>
    </xf>
    <xf numFmtId="0" fontId="5" fillId="0" borderId="2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7" fillId="0" borderId="2" xfId="0" applyFont="1" applyBorder="1" applyAlignment="1">
      <alignment vertical="top" wrapText="1"/>
    </xf>
    <xf numFmtId="0" fontId="8" fillId="0" borderId="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top" wrapText="1"/>
    </xf>
    <xf numFmtId="0" fontId="8" fillId="0" borderId="4" xfId="0" applyFont="1" applyBorder="1" applyAlignment="1">
      <alignment horizontal="center" vertical="top" wrapText="1"/>
    </xf>
    <xf numFmtId="0" fontId="3" fillId="0" borderId="11" xfId="0" applyFont="1" applyBorder="1" applyAlignment="1">
      <alignment horizontal="center" vertical="top" wrapText="1"/>
    </xf>
    <xf numFmtId="0" fontId="3" fillId="0" borderId="8" xfId="0" applyFont="1" applyBorder="1" applyAlignment="1">
      <alignment horizontal="center" vertical="top" wrapText="1"/>
    </xf>
    <xf numFmtId="0" fontId="3" fillId="0" borderId="2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top" wrapText="1"/>
    </xf>
    <xf numFmtId="0" fontId="12" fillId="0" borderId="4" xfId="0" applyFont="1" applyBorder="1" applyAlignment="1">
      <alignment horizontal="left" vertical="top" wrapText="1"/>
    </xf>
    <xf numFmtId="0" fontId="12" fillId="0" borderId="5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2" fillId="0" borderId="8" xfId="0" applyFont="1" applyBorder="1" applyAlignment="1">
      <alignment horizontal="left" vertical="top" wrapText="1"/>
    </xf>
    <xf numFmtId="0" fontId="11" fillId="0" borderId="5" xfId="0" applyFont="1" applyBorder="1" applyAlignment="1">
      <alignment horizontal="center" vertical="top" wrapText="1"/>
    </xf>
    <xf numFmtId="0" fontId="11" fillId="0" borderId="2" xfId="0" applyFont="1" applyBorder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7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top" wrapText="1"/>
    </xf>
    <xf numFmtId="0" fontId="3" fillId="0" borderId="26" xfId="0" applyFont="1" applyBorder="1" applyAlignment="1">
      <alignment horizontal="left" vertical="center" wrapText="1"/>
    </xf>
    <xf numFmtId="0" fontId="3" fillId="0" borderId="27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3" fillId="0" borderId="28" xfId="0" applyFont="1" applyBorder="1" applyAlignment="1">
      <alignment horizontal="left" vertical="center" wrapText="1"/>
    </xf>
    <xf numFmtId="0" fontId="3" fillId="0" borderId="29" xfId="0" applyFont="1" applyBorder="1" applyAlignment="1">
      <alignment horizontal="left" vertical="center" wrapText="1"/>
    </xf>
    <xf numFmtId="0" fontId="3" fillId="0" borderId="30" xfId="0" applyFont="1" applyBorder="1" applyAlignment="1">
      <alignment horizontal="left"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top" wrapText="1"/>
    </xf>
    <xf numFmtId="0" fontId="9" fillId="0" borderId="8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7" fillId="0" borderId="10" xfId="0" applyFont="1" applyBorder="1" applyAlignment="1">
      <alignment horizontal="left" vertical="center" wrapText="1"/>
    </xf>
    <xf numFmtId="0" fontId="17" fillId="0" borderId="9" xfId="0" applyFont="1" applyBorder="1" applyAlignment="1">
      <alignment horizontal="left" vertical="top" wrapText="1"/>
    </xf>
    <xf numFmtId="0" fontId="17" fillId="0" borderId="7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left" vertical="top" wrapText="1"/>
    </xf>
  </cellXfs>
  <cellStyles count="1">
    <cellStyle name="표준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23"/>
  <sheetViews>
    <sheetView tabSelected="1" topLeftCell="A120" zoomScaleNormal="100" workbookViewId="0">
      <selection activeCell="C145" sqref="C145"/>
    </sheetView>
  </sheetViews>
  <sheetFormatPr defaultRowHeight="11.25" x14ac:dyDescent="0.3"/>
  <cols>
    <col min="1" max="1" width="24.125" style="1" customWidth="1"/>
    <col min="2" max="2" width="17.5" style="1" customWidth="1"/>
    <col min="3" max="3" width="47" style="1" customWidth="1"/>
    <col min="4" max="5" width="9" style="2"/>
    <col min="6" max="11" width="9" style="108" customWidth="1"/>
    <col min="12" max="14" width="9" style="2"/>
    <col min="15" max="16" width="9" style="108"/>
    <col min="17" max="16384" width="9" style="2"/>
  </cols>
  <sheetData>
    <row r="1" spans="1:16" x14ac:dyDescent="0.3">
      <c r="A1" s="16" t="s">
        <v>515</v>
      </c>
    </row>
    <row r="2" spans="1:16" ht="12" thickBot="1" x14ac:dyDescent="0.35"/>
    <row r="3" spans="1:16" ht="14.25" thickTop="1" x14ac:dyDescent="0.3">
      <c r="A3" s="15" t="s">
        <v>94</v>
      </c>
      <c r="B3" s="15" t="s">
        <v>93</v>
      </c>
      <c r="C3" s="15" t="s">
        <v>5</v>
      </c>
    </row>
    <row r="4" spans="1:16" ht="12" x14ac:dyDescent="0.3">
      <c r="A4" s="12" t="s">
        <v>95</v>
      </c>
      <c r="B4" s="10" t="s">
        <v>101</v>
      </c>
      <c r="C4" s="4" t="s">
        <v>4</v>
      </c>
    </row>
    <row r="5" spans="1:16" ht="12" x14ac:dyDescent="0.3">
      <c r="A5" s="12" t="s">
        <v>5</v>
      </c>
      <c r="B5" s="10" t="s">
        <v>101</v>
      </c>
      <c r="C5" s="4" t="s">
        <v>4</v>
      </c>
    </row>
    <row r="6" spans="1:16" x14ac:dyDescent="0.3">
      <c r="A6" s="149" t="s">
        <v>1</v>
      </c>
      <c r="B6" s="10" t="s">
        <v>2</v>
      </c>
      <c r="C6" s="4"/>
    </row>
    <row r="7" spans="1:16" x14ac:dyDescent="0.3">
      <c r="A7" s="149"/>
      <c r="B7" s="10" t="s">
        <v>3</v>
      </c>
      <c r="C7" s="4"/>
    </row>
    <row r="8" spans="1:16" ht="12" x14ac:dyDescent="0.3">
      <c r="A8" s="12" t="s">
        <v>6</v>
      </c>
      <c r="B8" s="10" t="s">
        <v>7</v>
      </c>
      <c r="C8" s="4" t="s">
        <v>8</v>
      </c>
    </row>
    <row r="9" spans="1:16" ht="12" x14ac:dyDescent="0.3">
      <c r="A9" s="63" t="s">
        <v>439</v>
      </c>
      <c r="B9" s="10" t="s">
        <v>440</v>
      </c>
      <c r="C9" s="4" t="s">
        <v>441</v>
      </c>
    </row>
    <row r="10" spans="1:16" ht="12" x14ac:dyDescent="0.3">
      <c r="A10" s="116" t="s">
        <v>678</v>
      </c>
      <c r="B10" s="20" t="s">
        <v>679</v>
      </c>
      <c r="C10" s="4" t="s">
        <v>682</v>
      </c>
    </row>
    <row r="11" spans="1:16" ht="22.5" x14ac:dyDescent="0.3">
      <c r="A11" s="116"/>
      <c r="B11" s="20" t="s">
        <v>680</v>
      </c>
      <c r="C11" s="4" t="s">
        <v>684</v>
      </c>
    </row>
    <row r="12" spans="1:16" ht="22.5" x14ac:dyDescent="0.3">
      <c r="A12" s="116"/>
      <c r="B12" s="20" t="s">
        <v>681</v>
      </c>
      <c r="C12" s="4" t="s">
        <v>683</v>
      </c>
    </row>
    <row r="13" spans="1:16" ht="12" x14ac:dyDescent="0.3">
      <c r="A13" s="25" t="s">
        <v>18</v>
      </c>
      <c r="B13" s="153" t="s">
        <v>19</v>
      </c>
      <c r="C13" s="121" t="s">
        <v>473</v>
      </c>
    </row>
    <row r="14" spans="1:16" ht="38.25" customHeight="1" x14ac:dyDescent="0.3">
      <c r="A14" s="19" t="s">
        <v>20</v>
      </c>
      <c r="B14" s="153"/>
      <c r="C14" s="121"/>
    </row>
    <row r="15" spans="1:16" ht="12" x14ac:dyDescent="0.3">
      <c r="A15" s="26" t="s">
        <v>91</v>
      </c>
      <c r="B15" s="10" t="s">
        <v>49</v>
      </c>
      <c r="C15" s="4" t="s">
        <v>111</v>
      </c>
    </row>
    <row r="16" spans="1:16" s="3" customFormat="1" ht="12" x14ac:dyDescent="0.3">
      <c r="A16" s="25" t="s">
        <v>21</v>
      </c>
      <c r="B16" s="27" t="s">
        <v>10</v>
      </c>
      <c r="C16" s="89" t="s">
        <v>28</v>
      </c>
      <c r="F16" s="109"/>
      <c r="G16" s="109"/>
      <c r="H16" s="109"/>
      <c r="I16" s="109"/>
      <c r="J16" s="109"/>
      <c r="K16" s="109"/>
      <c r="O16" s="109"/>
      <c r="P16" s="109"/>
    </row>
    <row r="17" spans="1:16" s="3" customFormat="1" x14ac:dyDescent="0.3">
      <c r="A17" s="154" t="s">
        <v>33</v>
      </c>
      <c r="B17" s="27" t="s">
        <v>22</v>
      </c>
      <c r="C17" s="89" t="s">
        <v>29</v>
      </c>
      <c r="F17" s="109"/>
      <c r="G17" s="109"/>
      <c r="H17" s="109"/>
      <c r="I17" s="109"/>
      <c r="J17" s="109"/>
      <c r="K17" s="109"/>
      <c r="O17" s="109"/>
      <c r="P17" s="109"/>
    </row>
    <row r="18" spans="1:16" s="3" customFormat="1" x14ac:dyDescent="0.3">
      <c r="A18" s="154"/>
      <c r="B18" s="27" t="s">
        <v>23</v>
      </c>
      <c r="C18" s="89" t="s">
        <v>30</v>
      </c>
      <c r="F18" s="109"/>
      <c r="G18" s="109"/>
      <c r="H18" s="109"/>
      <c r="I18" s="109"/>
      <c r="J18" s="109"/>
      <c r="K18" s="109"/>
      <c r="O18" s="109"/>
      <c r="P18" s="109"/>
    </row>
    <row r="19" spans="1:16" s="3" customFormat="1" x14ac:dyDescent="0.3">
      <c r="A19" s="154"/>
      <c r="B19" s="27" t="s">
        <v>24</v>
      </c>
      <c r="C19" s="89" t="s">
        <v>31</v>
      </c>
      <c r="F19" s="109"/>
      <c r="G19" s="109"/>
      <c r="H19" s="109"/>
      <c r="I19" s="109"/>
      <c r="J19" s="109"/>
      <c r="K19" s="109"/>
      <c r="O19" s="109"/>
      <c r="P19" s="109"/>
    </row>
    <row r="20" spans="1:16" s="3" customFormat="1" x14ac:dyDescent="0.3">
      <c r="A20" s="154"/>
      <c r="B20" s="31" t="s">
        <v>26</v>
      </c>
      <c r="C20" s="80" t="s">
        <v>32</v>
      </c>
      <c r="F20" s="109"/>
      <c r="G20" s="109"/>
      <c r="H20" s="109"/>
      <c r="I20" s="109"/>
      <c r="J20" s="109"/>
      <c r="K20" s="109"/>
      <c r="O20" s="109"/>
      <c r="P20" s="109"/>
    </row>
    <row r="21" spans="1:16" s="3" customFormat="1" x14ac:dyDescent="0.3">
      <c r="A21" s="155"/>
      <c r="B21" s="31" t="s">
        <v>25</v>
      </c>
      <c r="C21" s="80" t="s">
        <v>27</v>
      </c>
      <c r="F21" s="109"/>
      <c r="G21" s="109"/>
      <c r="H21" s="109"/>
      <c r="I21" s="109"/>
      <c r="J21" s="109"/>
      <c r="K21" s="109"/>
      <c r="O21" s="109"/>
      <c r="P21" s="109"/>
    </row>
    <row r="22" spans="1:16" ht="22.5" x14ac:dyDescent="0.3">
      <c r="A22" s="101" t="s">
        <v>431</v>
      </c>
      <c r="B22" s="10" t="s">
        <v>433</v>
      </c>
      <c r="C22" s="4" t="s">
        <v>442</v>
      </c>
    </row>
    <row r="23" spans="1:16" ht="11.25" customHeight="1" x14ac:dyDescent="0.3">
      <c r="A23" s="119" t="s">
        <v>474</v>
      </c>
      <c r="B23" s="127" t="s">
        <v>434</v>
      </c>
      <c r="C23" s="129" t="s">
        <v>443</v>
      </c>
    </row>
    <row r="24" spans="1:16" ht="14.25" customHeight="1" x14ac:dyDescent="0.3">
      <c r="A24" s="120"/>
      <c r="B24" s="128"/>
      <c r="C24" s="132"/>
    </row>
    <row r="25" spans="1:16" ht="14.25" customHeight="1" x14ac:dyDescent="0.3">
      <c r="A25" s="120"/>
      <c r="B25" s="10" t="s">
        <v>435</v>
      </c>
      <c r="C25" s="62" t="s">
        <v>444</v>
      </c>
    </row>
    <row r="26" spans="1:16" ht="14.25" customHeight="1" x14ac:dyDescent="0.3">
      <c r="A26" s="142"/>
      <c r="B26" s="76" t="s">
        <v>475</v>
      </c>
      <c r="C26" s="62" t="s">
        <v>476</v>
      </c>
    </row>
    <row r="27" spans="1:16" ht="22.5" x14ac:dyDescent="0.3">
      <c r="A27" s="18" t="s">
        <v>477</v>
      </c>
      <c r="B27" s="76" t="s">
        <v>577</v>
      </c>
      <c r="C27" s="78" t="s">
        <v>479</v>
      </c>
    </row>
    <row r="28" spans="1:16" ht="22.5" x14ac:dyDescent="0.3">
      <c r="A28" s="119" t="s">
        <v>478</v>
      </c>
      <c r="B28" s="77" t="s">
        <v>578</v>
      </c>
      <c r="C28" s="78" t="s">
        <v>480</v>
      </c>
    </row>
    <row r="29" spans="1:16" x14ac:dyDescent="0.3">
      <c r="A29" s="120"/>
      <c r="B29" s="100" t="s">
        <v>672</v>
      </c>
      <c r="C29" s="78" t="s">
        <v>673</v>
      </c>
    </row>
    <row r="30" spans="1:16" x14ac:dyDescent="0.3">
      <c r="A30" s="98"/>
      <c r="B30" s="100" t="s">
        <v>579</v>
      </c>
      <c r="C30" s="78" t="s">
        <v>580</v>
      </c>
    </row>
    <row r="31" spans="1:16" ht="12" x14ac:dyDescent="0.3">
      <c r="A31" s="18" t="s">
        <v>481</v>
      </c>
      <c r="B31" s="76" t="s">
        <v>482</v>
      </c>
      <c r="C31" s="78" t="s">
        <v>483</v>
      </c>
    </row>
    <row r="32" spans="1:16" ht="12" x14ac:dyDescent="0.3">
      <c r="A32" s="18" t="s">
        <v>432</v>
      </c>
      <c r="B32" s="76" t="s">
        <v>436</v>
      </c>
      <c r="C32" s="78"/>
    </row>
    <row r="33" spans="1:3" ht="78.75" x14ac:dyDescent="0.3">
      <c r="A33" s="28" t="s">
        <v>484</v>
      </c>
      <c r="B33" s="77" t="s">
        <v>437</v>
      </c>
      <c r="C33" s="79" t="s">
        <v>677</v>
      </c>
    </row>
    <row r="34" spans="1:3" ht="12" x14ac:dyDescent="0.3">
      <c r="A34" s="18" t="s">
        <v>144</v>
      </c>
      <c r="B34" s="127" t="s">
        <v>106</v>
      </c>
      <c r="C34" s="129" t="s">
        <v>145</v>
      </c>
    </row>
    <row r="35" spans="1:3" ht="22.5" x14ac:dyDescent="0.3">
      <c r="A35" s="28" t="s">
        <v>485</v>
      </c>
      <c r="B35" s="128"/>
      <c r="C35" s="130"/>
    </row>
    <row r="36" spans="1:3" ht="12" x14ac:dyDescent="0.3">
      <c r="A36" s="21" t="s">
        <v>141</v>
      </c>
      <c r="B36" s="10" t="s">
        <v>109</v>
      </c>
      <c r="C36" s="4" t="s">
        <v>110</v>
      </c>
    </row>
    <row r="37" spans="1:3" ht="22.5" x14ac:dyDescent="0.3">
      <c r="A37" s="140" t="s">
        <v>139</v>
      </c>
      <c r="B37" s="10" t="s">
        <v>486</v>
      </c>
      <c r="C37" s="4" t="s">
        <v>116</v>
      </c>
    </row>
    <row r="38" spans="1:3" ht="12" customHeight="1" x14ac:dyDescent="0.3">
      <c r="A38" s="141"/>
      <c r="B38" s="10" t="s">
        <v>114</v>
      </c>
      <c r="C38" s="4" t="s">
        <v>115</v>
      </c>
    </row>
    <row r="39" spans="1:3" ht="12" x14ac:dyDescent="0.3">
      <c r="A39" s="18" t="s">
        <v>142</v>
      </c>
      <c r="B39" s="2" t="s">
        <v>487</v>
      </c>
      <c r="C39" s="5" t="s">
        <v>488</v>
      </c>
    </row>
    <row r="40" spans="1:3" x14ac:dyDescent="0.3">
      <c r="A40" s="135" t="s">
        <v>146</v>
      </c>
      <c r="B40" s="20" t="s">
        <v>10</v>
      </c>
      <c r="C40" s="2" t="s">
        <v>489</v>
      </c>
    </row>
    <row r="41" spans="1:3" x14ac:dyDescent="0.3">
      <c r="A41" s="135"/>
      <c r="B41" s="20" t="s">
        <v>22</v>
      </c>
      <c r="C41" s="5" t="s">
        <v>143</v>
      </c>
    </row>
    <row r="42" spans="1:3" x14ac:dyDescent="0.3">
      <c r="A42" s="135"/>
      <c r="B42" s="20" t="s">
        <v>23</v>
      </c>
      <c r="C42" s="5" t="s">
        <v>140</v>
      </c>
    </row>
    <row r="43" spans="1:3" x14ac:dyDescent="0.3">
      <c r="A43" s="135"/>
      <c r="B43" s="20" t="s">
        <v>24</v>
      </c>
      <c r="C43" s="5" t="s">
        <v>31</v>
      </c>
    </row>
    <row r="44" spans="1:3" x14ac:dyDescent="0.3">
      <c r="A44" s="136"/>
      <c r="B44" s="20"/>
      <c r="C44" s="5"/>
    </row>
    <row r="45" spans="1:3" ht="12" x14ac:dyDescent="0.3">
      <c r="A45" s="18" t="s">
        <v>490</v>
      </c>
      <c r="B45" s="127" t="s">
        <v>19</v>
      </c>
      <c r="C45" s="129" t="s">
        <v>145</v>
      </c>
    </row>
    <row r="46" spans="1:3" ht="22.5" x14ac:dyDescent="0.3">
      <c r="A46" s="28" t="s">
        <v>491</v>
      </c>
      <c r="B46" s="128"/>
      <c r="C46" s="130"/>
    </row>
    <row r="47" spans="1:3" ht="12" x14ac:dyDescent="0.3">
      <c r="A47" s="81" t="s">
        <v>492</v>
      </c>
      <c r="B47" s="10" t="s">
        <v>109</v>
      </c>
      <c r="C47" s="4" t="s">
        <v>110</v>
      </c>
    </row>
    <row r="48" spans="1:3" ht="12" x14ac:dyDescent="0.3">
      <c r="A48" s="18" t="s">
        <v>493</v>
      </c>
      <c r="B48" s="2" t="str">
        <f>B39</f>
        <v>타겟좌표</v>
      </c>
      <c r="C48" s="5" t="str">
        <f>C39</f>
        <v>타겟의 발빝에 생성된다. 스킬 지속시간이 있을경우 목표를 따라다닌다.</v>
      </c>
    </row>
    <row r="49" spans="1:3" ht="22.5" x14ac:dyDescent="0.3">
      <c r="A49" s="135" t="s">
        <v>146</v>
      </c>
      <c r="B49" s="2" t="str">
        <f t="shared" ref="B49:C52" si="0">B40</f>
        <v>타겟바닥</v>
      </c>
      <c r="C49" s="5" t="str">
        <f t="shared" si="0"/>
        <v>타겟의 바닥에 생성된다. 지면에 깔리는 류(ex:장판)의 이펙트라면 이것을 사용해야 한다.</v>
      </c>
    </row>
    <row r="50" spans="1:3" x14ac:dyDescent="0.3">
      <c r="A50" s="135"/>
      <c r="B50" s="2" t="str">
        <f t="shared" si="0"/>
        <v>타겟중심</v>
      </c>
      <c r="C50" s="5" t="str">
        <f t="shared" si="0"/>
        <v>타겟의 중심에 생성된다</v>
      </c>
    </row>
    <row r="51" spans="1:3" x14ac:dyDescent="0.3">
      <c r="A51" s="135"/>
      <c r="B51" s="2" t="str">
        <f t="shared" si="0"/>
        <v>타겟머리</v>
      </c>
      <c r="C51" s="5" t="str">
        <f t="shared" si="0"/>
        <v>타겟의 머리위에 생성된다.</v>
      </c>
    </row>
    <row r="52" spans="1:3" x14ac:dyDescent="0.3">
      <c r="A52" s="135"/>
      <c r="B52" s="2" t="str">
        <f t="shared" si="0"/>
        <v>액션이벤트</v>
      </c>
      <c r="C52" s="5" t="str">
        <f t="shared" si="0"/>
        <v>스킬모션의 액션이벤트에 지정한 위치에에 생성된다.</v>
      </c>
    </row>
    <row r="53" spans="1:3" x14ac:dyDescent="0.3">
      <c r="A53" s="136"/>
      <c r="B53" s="20"/>
      <c r="C53" s="5"/>
    </row>
    <row r="54" spans="1:3" ht="12" x14ac:dyDescent="0.3">
      <c r="A54" s="18" t="s">
        <v>494</v>
      </c>
      <c r="B54" s="127" t="s">
        <v>19</v>
      </c>
      <c r="C54" s="129" t="s">
        <v>145</v>
      </c>
    </row>
    <row r="55" spans="1:3" ht="22.5" x14ac:dyDescent="0.3">
      <c r="A55" s="28" t="s">
        <v>497</v>
      </c>
      <c r="B55" s="128"/>
      <c r="C55" s="130"/>
    </row>
    <row r="56" spans="1:3" ht="12" x14ac:dyDescent="0.3">
      <c r="A56" s="81" t="s">
        <v>495</v>
      </c>
      <c r="B56" s="10" t="s">
        <v>109</v>
      </c>
      <c r="C56" s="4" t="s">
        <v>110</v>
      </c>
    </row>
    <row r="57" spans="1:3" ht="12" x14ac:dyDescent="0.3">
      <c r="A57" s="18" t="s">
        <v>496</v>
      </c>
      <c r="B57" s="2" t="str">
        <f>B39</f>
        <v>타겟좌표</v>
      </c>
      <c r="C57" s="5" t="str">
        <f>C39</f>
        <v>타겟의 발빝에 생성된다. 스킬 지속시간이 있을경우 목표를 따라다닌다.</v>
      </c>
    </row>
    <row r="58" spans="1:3" ht="22.5" x14ac:dyDescent="0.3">
      <c r="A58" s="135" t="s">
        <v>146</v>
      </c>
      <c r="B58" s="2" t="str">
        <f t="shared" ref="B58:C61" si="1">B40</f>
        <v>타겟바닥</v>
      </c>
      <c r="C58" s="5" t="str">
        <f t="shared" si="1"/>
        <v>타겟의 바닥에 생성된다. 지면에 깔리는 류(ex:장판)의 이펙트라면 이것을 사용해야 한다.</v>
      </c>
    </row>
    <row r="59" spans="1:3" x14ac:dyDescent="0.3">
      <c r="A59" s="135"/>
      <c r="B59" s="2" t="str">
        <f t="shared" si="1"/>
        <v>타겟중심</v>
      </c>
      <c r="C59" s="5" t="str">
        <f t="shared" si="1"/>
        <v>타겟의 중심에 생성된다</v>
      </c>
    </row>
    <row r="60" spans="1:3" x14ac:dyDescent="0.3">
      <c r="A60" s="135"/>
      <c r="B60" s="2" t="str">
        <f t="shared" si="1"/>
        <v>타겟머리</v>
      </c>
      <c r="C60" s="5" t="str">
        <f t="shared" si="1"/>
        <v>타겟의 머리위에 생성된다.</v>
      </c>
    </row>
    <row r="61" spans="1:3" x14ac:dyDescent="0.3">
      <c r="A61" s="135"/>
      <c r="B61" s="2" t="str">
        <f t="shared" si="1"/>
        <v>액션이벤트</v>
      </c>
      <c r="C61" s="5" t="str">
        <f t="shared" si="1"/>
        <v>스킬모션의 액션이벤트에 지정한 위치에에 생성된다.</v>
      </c>
    </row>
    <row r="62" spans="1:3" x14ac:dyDescent="0.3">
      <c r="A62" s="136"/>
      <c r="B62" s="20"/>
      <c r="C62" s="5"/>
    </row>
    <row r="63" spans="1:3" x14ac:dyDescent="0.3">
      <c r="A63" s="24" t="s">
        <v>9</v>
      </c>
      <c r="B63" s="9"/>
      <c r="C63" s="9"/>
    </row>
    <row r="64" spans="1:3" ht="17.25" x14ac:dyDescent="0.3">
      <c r="A64" s="103" t="s">
        <v>0</v>
      </c>
      <c r="B64" s="10" t="s">
        <v>438</v>
      </c>
      <c r="C64" s="4" t="s">
        <v>642</v>
      </c>
    </row>
    <row r="65" spans="1:16" x14ac:dyDescent="0.3">
      <c r="A65" s="135" t="s">
        <v>445</v>
      </c>
      <c r="B65" s="10" t="s">
        <v>498</v>
      </c>
      <c r="C65" s="4" t="s">
        <v>501</v>
      </c>
    </row>
    <row r="66" spans="1:16" ht="22.5" x14ac:dyDescent="0.3">
      <c r="A66" s="135"/>
      <c r="B66" s="10" t="s">
        <v>499</v>
      </c>
      <c r="C66" s="4" t="s">
        <v>500</v>
      </c>
    </row>
    <row r="67" spans="1:16" x14ac:dyDescent="0.3">
      <c r="A67" s="135"/>
      <c r="B67" s="10" t="s">
        <v>447</v>
      </c>
      <c r="C67" s="4" t="s">
        <v>502</v>
      </c>
    </row>
    <row r="68" spans="1:16" x14ac:dyDescent="0.3">
      <c r="A68" s="135"/>
      <c r="B68" s="115" t="s">
        <v>645</v>
      </c>
      <c r="C68" s="4" t="s">
        <v>646</v>
      </c>
    </row>
    <row r="69" spans="1:16" ht="12" x14ac:dyDescent="0.3">
      <c r="A69" s="18" t="s">
        <v>12</v>
      </c>
      <c r="B69" s="20" t="s">
        <v>13</v>
      </c>
      <c r="C69" s="4" t="s">
        <v>16</v>
      </c>
    </row>
    <row r="70" spans="1:16" ht="11.25" customHeight="1" x14ac:dyDescent="0.3">
      <c r="A70" s="135" t="s">
        <v>15</v>
      </c>
      <c r="B70" s="20" t="s">
        <v>14</v>
      </c>
      <c r="C70" s="4" t="s">
        <v>17</v>
      </c>
    </row>
    <row r="71" spans="1:16" x14ac:dyDescent="0.3">
      <c r="A71" s="136"/>
      <c r="B71" s="27" t="s">
        <v>134</v>
      </c>
      <c r="C71" s="4" t="s">
        <v>138</v>
      </c>
    </row>
    <row r="72" spans="1:16" s="3" customFormat="1" ht="12" customHeight="1" x14ac:dyDescent="0.3">
      <c r="A72" s="150" t="s">
        <v>503</v>
      </c>
      <c r="B72" s="127" t="s">
        <v>34</v>
      </c>
      <c r="C72" s="129" t="s">
        <v>504</v>
      </c>
      <c r="F72" s="109"/>
      <c r="G72" s="109"/>
      <c r="H72" s="109"/>
      <c r="I72" s="109"/>
      <c r="J72" s="109"/>
      <c r="K72" s="109"/>
      <c r="O72" s="109"/>
      <c r="P72" s="109"/>
    </row>
    <row r="73" spans="1:16" s="3" customFormat="1" ht="12" customHeight="1" x14ac:dyDescent="0.3">
      <c r="A73" s="151"/>
      <c r="B73" s="131"/>
      <c r="C73" s="132"/>
      <c r="F73" s="109"/>
      <c r="G73" s="109"/>
      <c r="H73" s="109"/>
      <c r="I73" s="109"/>
      <c r="J73" s="109"/>
      <c r="K73" s="109"/>
      <c r="O73" s="109"/>
      <c r="P73" s="109"/>
    </row>
    <row r="74" spans="1:16" ht="16.5" customHeight="1" x14ac:dyDescent="0.3">
      <c r="A74" s="152"/>
      <c r="B74" s="128"/>
      <c r="C74" s="130"/>
    </row>
    <row r="75" spans="1:16" ht="33.75" x14ac:dyDescent="0.3">
      <c r="A75" s="13" t="s">
        <v>35</v>
      </c>
      <c r="B75" s="10" t="s">
        <v>34</v>
      </c>
      <c r="C75" s="4" t="s">
        <v>647</v>
      </c>
    </row>
    <row r="76" spans="1:16" ht="12" x14ac:dyDescent="0.3">
      <c r="A76" s="14" t="s">
        <v>105</v>
      </c>
      <c r="B76" s="10" t="s">
        <v>106</v>
      </c>
      <c r="C76" s="4" t="s">
        <v>107</v>
      </c>
    </row>
    <row r="77" spans="1:16" ht="12" x14ac:dyDescent="0.3">
      <c r="A77" s="14" t="s">
        <v>108</v>
      </c>
      <c r="B77" s="10" t="s">
        <v>109</v>
      </c>
      <c r="C77" s="4" t="s">
        <v>110</v>
      </c>
    </row>
    <row r="78" spans="1:16" ht="22.5" x14ac:dyDescent="0.3">
      <c r="A78" s="140" t="s">
        <v>112</v>
      </c>
      <c r="B78" s="10" t="s">
        <v>113</v>
      </c>
      <c r="C78" s="4" t="s">
        <v>116</v>
      </c>
    </row>
    <row r="79" spans="1:16" ht="12" customHeight="1" x14ac:dyDescent="0.3">
      <c r="A79" s="141"/>
      <c r="B79" s="10" t="s">
        <v>114</v>
      </c>
      <c r="C79" s="4" t="s">
        <v>115</v>
      </c>
    </row>
    <row r="80" spans="1:16" ht="12" x14ac:dyDescent="0.3">
      <c r="A80" s="18" t="s">
        <v>117</v>
      </c>
      <c r="B80" s="20" t="str">
        <f t="shared" ref="B80:C84" si="2">B39</f>
        <v>타겟좌표</v>
      </c>
      <c r="C80" s="5" t="str">
        <f t="shared" si="2"/>
        <v>타겟의 발빝에 생성된다. 스킬 지속시간이 있을경우 목표를 따라다닌다.</v>
      </c>
    </row>
    <row r="81" spans="1:16" ht="22.5" x14ac:dyDescent="0.3">
      <c r="A81" s="135" t="s">
        <v>118</v>
      </c>
      <c r="B81" s="20" t="str">
        <f t="shared" si="2"/>
        <v>타겟바닥</v>
      </c>
      <c r="C81" s="5" t="str">
        <f t="shared" si="2"/>
        <v>타겟의 바닥에 생성된다. 지면에 깔리는 류(ex:장판)의 이펙트라면 이것을 사용해야 한다.</v>
      </c>
    </row>
    <row r="82" spans="1:16" x14ac:dyDescent="0.3">
      <c r="A82" s="135"/>
      <c r="B82" s="20" t="str">
        <f t="shared" si="2"/>
        <v>타겟중심</v>
      </c>
      <c r="C82" s="5" t="str">
        <f t="shared" si="2"/>
        <v>타겟의 중심에 생성된다</v>
      </c>
    </row>
    <row r="83" spans="1:16" x14ac:dyDescent="0.3">
      <c r="A83" s="135"/>
      <c r="B83" s="20" t="str">
        <f t="shared" si="2"/>
        <v>타겟머리</v>
      </c>
      <c r="C83" s="5" t="str">
        <f t="shared" si="2"/>
        <v>타겟의 머리위에 생성된다.</v>
      </c>
    </row>
    <row r="84" spans="1:16" x14ac:dyDescent="0.3">
      <c r="A84" s="135"/>
      <c r="B84" s="20" t="str">
        <f t="shared" si="2"/>
        <v>액션이벤트</v>
      </c>
      <c r="C84" s="5" t="str">
        <f t="shared" si="2"/>
        <v>스킬모션의 액션이벤트에 지정한 위치에에 생성된다.</v>
      </c>
    </row>
    <row r="85" spans="1:16" x14ac:dyDescent="0.3">
      <c r="A85" s="136"/>
      <c r="B85" s="20"/>
      <c r="C85" s="5"/>
    </row>
    <row r="86" spans="1:16" s="32" customFormat="1" ht="11.25" customHeight="1" x14ac:dyDescent="0.3">
      <c r="A86" s="82" t="s">
        <v>36</v>
      </c>
      <c r="B86" s="29" t="s">
        <v>49</v>
      </c>
      <c r="C86" s="80" t="s">
        <v>27</v>
      </c>
      <c r="F86" s="110"/>
      <c r="G86" s="110"/>
      <c r="H86" s="110"/>
      <c r="I86" s="110"/>
      <c r="J86" s="110"/>
      <c r="K86" s="110"/>
      <c r="O86" s="110"/>
      <c r="P86" s="110"/>
    </row>
    <row r="87" spans="1:16" ht="22.5" x14ac:dyDescent="0.3">
      <c r="A87" s="22" t="s">
        <v>126</v>
      </c>
      <c r="B87" s="27" t="s">
        <v>127</v>
      </c>
      <c r="C87" s="4" t="s">
        <v>128</v>
      </c>
    </row>
    <row r="88" spans="1:16" ht="11.25" customHeight="1" x14ac:dyDescent="0.3">
      <c r="A88" s="22" t="s">
        <v>129</v>
      </c>
      <c r="B88" s="27" t="s">
        <v>130</v>
      </c>
      <c r="C88" s="4" t="s">
        <v>131</v>
      </c>
    </row>
    <row r="89" spans="1:16" s="32" customFormat="1" ht="22.5" x14ac:dyDescent="0.3">
      <c r="A89" s="82" t="s">
        <v>132</v>
      </c>
      <c r="B89" s="31" t="s">
        <v>121</v>
      </c>
      <c r="C89" s="80" t="s">
        <v>133</v>
      </c>
      <c r="F89" s="110"/>
      <c r="G89" s="110"/>
      <c r="H89" s="110"/>
      <c r="I89" s="110"/>
      <c r="J89" s="110"/>
      <c r="K89" s="110"/>
      <c r="O89" s="110"/>
      <c r="P89" s="110"/>
    </row>
    <row r="90" spans="1:16" ht="17.25" x14ac:dyDescent="0.3">
      <c r="A90" s="102" t="s">
        <v>37</v>
      </c>
      <c r="B90" s="20" t="s">
        <v>616</v>
      </c>
      <c r="C90" s="4" t="s">
        <v>505</v>
      </c>
    </row>
    <row r="91" spans="1:16" ht="22.5" customHeight="1" x14ac:dyDescent="0.3">
      <c r="A91" s="119" t="s">
        <v>38</v>
      </c>
      <c r="B91" s="20" t="s">
        <v>617</v>
      </c>
      <c r="C91" s="4" t="s">
        <v>39</v>
      </c>
    </row>
    <row r="92" spans="1:16" ht="22.5" x14ac:dyDescent="0.3">
      <c r="A92" s="120"/>
      <c r="B92" s="20" t="s">
        <v>618</v>
      </c>
      <c r="C92" s="4" t="s">
        <v>581</v>
      </c>
    </row>
    <row r="93" spans="1:16" x14ac:dyDescent="0.3">
      <c r="A93" s="120"/>
      <c r="B93" s="20" t="s">
        <v>643</v>
      </c>
      <c r="C93" s="4" t="s">
        <v>644</v>
      </c>
    </row>
    <row r="94" spans="1:16" ht="16.5" customHeight="1" x14ac:dyDescent="0.3">
      <c r="A94" s="120"/>
      <c r="B94" s="20" t="s">
        <v>594</v>
      </c>
      <c r="C94" s="4" t="s">
        <v>595</v>
      </c>
    </row>
    <row r="95" spans="1:16" ht="16.5" customHeight="1" x14ac:dyDescent="0.3">
      <c r="A95" s="120"/>
      <c r="B95" s="20" t="s">
        <v>596</v>
      </c>
      <c r="C95" s="4" t="s">
        <v>597</v>
      </c>
    </row>
    <row r="96" spans="1:16" ht="16.5" customHeight="1" x14ac:dyDescent="0.3">
      <c r="A96" s="120"/>
      <c r="B96" s="20" t="s">
        <v>582</v>
      </c>
      <c r="C96" s="4" t="s">
        <v>583</v>
      </c>
    </row>
    <row r="97" spans="1:16" ht="16.5" customHeight="1" x14ac:dyDescent="0.3">
      <c r="A97" s="120"/>
      <c r="B97" s="20" t="s">
        <v>603</v>
      </c>
      <c r="C97" s="4"/>
    </row>
    <row r="98" spans="1:16" ht="16.5" customHeight="1" x14ac:dyDescent="0.3">
      <c r="A98" s="142"/>
      <c r="B98" s="20" t="s">
        <v>579</v>
      </c>
      <c r="C98" s="4" t="s">
        <v>602</v>
      </c>
    </row>
    <row r="99" spans="1:16" ht="12" x14ac:dyDescent="0.3">
      <c r="A99" s="18" t="s">
        <v>40</v>
      </c>
      <c r="B99" s="20" t="s">
        <v>13</v>
      </c>
      <c r="C99" s="4" t="s">
        <v>135</v>
      </c>
    </row>
    <row r="100" spans="1:16" x14ac:dyDescent="0.3">
      <c r="A100" s="135" t="s">
        <v>41</v>
      </c>
      <c r="B100" s="20" t="s">
        <v>14</v>
      </c>
      <c r="C100" s="4" t="s">
        <v>136</v>
      </c>
    </row>
    <row r="101" spans="1:16" x14ac:dyDescent="0.3">
      <c r="A101" s="136"/>
      <c r="B101" s="27" t="s">
        <v>134</v>
      </c>
      <c r="C101" s="4" t="s">
        <v>137</v>
      </c>
    </row>
    <row r="102" spans="1:16" ht="22.5" x14ac:dyDescent="0.3">
      <c r="A102" s="81" t="s">
        <v>506</v>
      </c>
      <c r="B102" s="10" t="s">
        <v>122</v>
      </c>
      <c r="C102" s="7" t="s">
        <v>92</v>
      </c>
    </row>
    <row r="103" spans="1:16" s="32" customFormat="1" ht="12" customHeight="1" x14ac:dyDescent="0.3">
      <c r="A103" s="83" t="s">
        <v>119</v>
      </c>
      <c r="B103" s="84" t="s">
        <v>123</v>
      </c>
      <c r="C103" s="125" t="s">
        <v>124</v>
      </c>
      <c r="F103" s="110"/>
      <c r="G103" s="110"/>
      <c r="H103" s="110"/>
      <c r="I103" s="110"/>
      <c r="J103" s="110"/>
      <c r="K103" s="110"/>
      <c r="O103" s="110"/>
      <c r="P103" s="110"/>
    </row>
    <row r="104" spans="1:16" s="32" customFormat="1" ht="12" customHeight="1" x14ac:dyDescent="0.3">
      <c r="A104" s="30" t="s">
        <v>120</v>
      </c>
      <c r="B104" s="84" t="s">
        <v>123</v>
      </c>
      <c r="C104" s="126"/>
      <c r="F104" s="110"/>
      <c r="G104" s="110"/>
      <c r="H104" s="110"/>
      <c r="I104" s="110"/>
      <c r="J104" s="110"/>
      <c r="K104" s="110"/>
      <c r="O104" s="110"/>
      <c r="P104" s="110"/>
    </row>
    <row r="105" spans="1:16" ht="22.5" x14ac:dyDescent="0.3">
      <c r="A105" s="18" t="s">
        <v>42</v>
      </c>
      <c r="B105" s="20" t="s">
        <v>656</v>
      </c>
      <c r="C105" s="4" t="s">
        <v>43</v>
      </c>
    </row>
    <row r="106" spans="1:16" ht="33.75" x14ac:dyDescent="0.3">
      <c r="A106" s="135" t="s">
        <v>50</v>
      </c>
      <c r="B106" s="20" t="s">
        <v>44</v>
      </c>
      <c r="C106" s="4" t="s">
        <v>507</v>
      </c>
    </row>
    <row r="107" spans="1:16" x14ac:dyDescent="0.3">
      <c r="A107" s="135"/>
      <c r="B107" s="20" t="s">
        <v>508</v>
      </c>
      <c r="C107" s="4" t="s">
        <v>509</v>
      </c>
    </row>
    <row r="108" spans="1:16" x14ac:dyDescent="0.3">
      <c r="A108" s="135"/>
      <c r="B108" s="27" t="s">
        <v>575</v>
      </c>
      <c r="C108" s="89" t="s">
        <v>576</v>
      </c>
    </row>
    <row r="109" spans="1:16" ht="11.25" customHeight="1" x14ac:dyDescent="0.3">
      <c r="A109" s="135"/>
      <c r="B109" s="27" t="s">
        <v>619</v>
      </c>
      <c r="C109" s="89" t="s">
        <v>654</v>
      </c>
      <c r="D109" s="143" t="s">
        <v>655</v>
      </c>
      <c r="E109" s="144"/>
    </row>
    <row r="110" spans="1:16" ht="22.5" x14ac:dyDescent="0.3">
      <c r="A110" s="135"/>
      <c r="B110" s="27" t="s">
        <v>150</v>
      </c>
      <c r="C110" s="89" t="s">
        <v>652</v>
      </c>
      <c r="D110" s="145"/>
      <c r="E110" s="146"/>
    </row>
    <row r="111" spans="1:16" x14ac:dyDescent="0.3">
      <c r="A111" s="135"/>
      <c r="B111" s="31" t="s">
        <v>45</v>
      </c>
      <c r="C111" s="80" t="s">
        <v>46</v>
      </c>
      <c r="D111" s="145"/>
      <c r="E111" s="146"/>
    </row>
    <row r="112" spans="1:16" ht="22.5" x14ac:dyDescent="0.3">
      <c r="A112" s="135"/>
      <c r="B112" s="27" t="s">
        <v>567</v>
      </c>
      <c r="C112" s="89" t="s">
        <v>653</v>
      </c>
      <c r="D112" s="147"/>
      <c r="E112" s="148"/>
    </row>
    <row r="113" spans="1:16" x14ac:dyDescent="0.3">
      <c r="A113" s="135"/>
      <c r="B113" s="27" t="s">
        <v>569</v>
      </c>
      <c r="C113" s="89" t="s">
        <v>568</v>
      </c>
    </row>
    <row r="114" spans="1:16" x14ac:dyDescent="0.3">
      <c r="A114" s="135"/>
      <c r="B114" s="27" t="s">
        <v>584</v>
      </c>
      <c r="C114" s="89" t="s">
        <v>585</v>
      </c>
    </row>
    <row r="115" spans="1:16" x14ac:dyDescent="0.3">
      <c r="A115" s="135"/>
      <c r="B115" s="27" t="s">
        <v>613</v>
      </c>
      <c r="C115" s="89" t="s">
        <v>590</v>
      </c>
    </row>
    <row r="116" spans="1:16" x14ac:dyDescent="0.3">
      <c r="A116" s="135"/>
      <c r="B116" s="27" t="s">
        <v>45</v>
      </c>
      <c r="C116" s="89" t="s">
        <v>591</v>
      </c>
    </row>
    <row r="117" spans="1:16" x14ac:dyDescent="0.3">
      <c r="A117" s="135"/>
      <c r="B117" s="27" t="s">
        <v>592</v>
      </c>
      <c r="C117" s="89" t="s">
        <v>593</v>
      </c>
    </row>
    <row r="118" spans="1:16" ht="33.75" x14ac:dyDescent="0.3">
      <c r="A118" s="135"/>
      <c r="B118" s="27" t="s">
        <v>614</v>
      </c>
      <c r="C118" s="89" t="s">
        <v>615</v>
      </c>
    </row>
    <row r="119" spans="1:16" x14ac:dyDescent="0.3">
      <c r="A119" s="135"/>
      <c r="B119" s="31" t="s">
        <v>47</v>
      </c>
      <c r="C119" s="80" t="s">
        <v>11</v>
      </c>
    </row>
    <row r="120" spans="1:16" x14ac:dyDescent="0.3">
      <c r="A120" s="135"/>
      <c r="B120" s="27" t="s">
        <v>48</v>
      </c>
      <c r="C120" s="89" t="s">
        <v>11</v>
      </c>
    </row>
    <row r="121" spans="1:16" ht="22.5" x14ac:dyDescent="0.3">
      <c r="A121" s="137"/>
      <c r="B121" s="31" t="s">
        <v>151</v>
      </c>
      <c r="C121" s="80" t="s">
        <v>154</v>
      </c>
    </row>
    <row r="122" spans="1:16" x14ac:dyDescent="0.3">
      <c r="A122" s="137"/>
      <c r="B122" s="27" t="s">
        <v>148</v>
      </c>
      <c r="C122" s="89" t="s">
        <v>149</v>
      </c>
    </row>
    <row r="123" spans="1:16" ht="22.5" x14ac:dyDescent="0.3">
      <c r="A123" s="113" t="s">
        <v>640</v>
      </c>
      <c r="B123" s="23" t="s">
        <v>588</v>
      </c>
      <c r="C123" s="99" t="s">
        <v>589</v>
      </c>
    </row>
    <row r="124" spans="1:16" x14ac:dyDescent="0.3">
      <c r="A124" s="114" t="s">
        <v>638</v>
      </c>
      <c r="B124" s="23" t="s">
        <v>639</v>
      </c>
      <c r="C124" s="104" t="s">
        <v>641</v>
      </c>
    </row>
    <row r="125" spans="1:16" s="32" customFormat="1" ht="12" x14ac:dyDescent="0.3">
      <c r="A125" s="85" t="s">
        <v>153</v>
      </c>
      <c r="B125" s="31" t="s">
        <v>152</v>
      </c>
      <c r="C125" s="80" t="s">
        <v>155</v>
      </c>
      <c r="F125" s="110"/>
      <c r="G125" s="110"/>
      <c r="H125" s="110"/>
      <c r="I125" s="110"/>
      <c r="J125" s="110"/>
      <c r="K125" s="110"/>
      <c r="O125" s="110"/>
      <c r="P125" s="110"/>
    </row>
    <row r="126" spans="1:16" ht="12" x14ac:dyDescent="0.3">
      <c r="A126" s="18" t="s">
        <v>658</v>
      </c>
      <c r="B126" s="20" t="s">
        <v>549</v>
      </c>
      <c r="C126" s="4" t="s">
        <v>550</v>
      </c>
    </row>
    <row r="127" spans="1:16" x14ac:dyDescent="0.3">
      <c r="A127" s="135" t="s">
        <v>548</v>
      </c>
      <c r="B127" s="20" t="s">
        <v>660</v>
      </c>
      <c r="C127" s="4" t="s">
        <v>551</v>
      </c>
    </row>
    <row r="128" spans="1:16" x14ac:dyDescent="0.3">
      <c r="A128" s="135"/>
      <c r="B128" s="27" t="s">
        <v>659</v>
      </c>
      <c r="C128" s="89" t="s">
        <v>552</v>
      </c>
    </row>
    <row r="129" spans="1:3" x14ac:dyDescent="0.3">
      <c r="A129" s="135"/>
      <c r="B129" s="27" t="s">
        <v>661</v>
      </c>
      <c r="C129" s="89" t="s">
        <v>553</v>
      </c>
    </row>
    <row r="130" spans="1:3" x14ac:dyDescent="0.3">
      <c r="A130" s="135"/>
      <c r="B130" s="27" t="s">
        <v>604</v>
      </c>
      <c r="C130" s="89" t="s">
        <v>540</v>
      </c>
    </row>
    <row r="131" spans="1:3" x14ac:dyDescent="0.3">
      <c r="A131" s="135"/>
      <c r="B131" s="27"/>
      <c r="C131" s="89"/>
    </row>
    <row r="132" spans="1:3" x14ac:dyDescent="0.3">
      <c r="A132" s="135"/>
      <c r="B132" s="27"/>
      <c r="C132" s="89"/>
    </row>
    <row r="133" spans="1:3" x14ac:dyDescent="0.3">
      <c r="A133" s="135"/>
      <c r="B133" s="27"/>
      <c r="C133" s="89"/>
    </row>
    <row r="134" spans="1:3" x14ac:dyDescent="0.3">
      <c r="A134" s="137"/>
      <c r="B134" s="27"/>
      <c r="C134" s="89"/>
    </row>
    <row r="135" spans="1:3" x14ac:dyDescent="0.3">
      <c r="A135" s="137"/>
      <c r="B135" s="27"/>
      <c r="C135" s="89"/>
    </row>
    <row r="136" spans="1:3" ht="22.5" x14ac:dyDescent="0.3">
      <c r="A136" s="17" t="s">
        <v>700</v>
      </c>
      <c r="B136" s="10" t="s">
        <v>106</v>
      </c>
      <c r="C136" s="4" t="s">
        <v>147</v>
      </c>
    </row>
    <row r="137" spans="1:3" ht="12" x14ac:dyDescent="0.3">
      <c r="A137" s="17" t="s">
        <v>701</v>
      </c>
      <c r="B137" s="10" t="s">
        <v>109</v>
      </c>
      <c r="C137" s="4" t="s">
        <v>110</v>
      </c>
    </row>
    <row r="138" spans="1:3" ht="12" x14ac:dyDescent="0.3">
      <c r="A138" s="18" t="s">
        <v>702</v>
      </c>
      <c r="B138" s="20" t="str">
        <f t="shared" ref="B138:C142" si="3">B39</f>
        <v>타겟좌표</v>
      </c>
      <c r="C138" s="5" t="str">
        <f t="shared" si="3"/>
        <v>타겟의 발빝에 생성된다. 스킬 지속시간이 있을경우 목표를 따라다닌다.</v>
      </c>
    </row>
    <row r="139" spans="1:3" ht="22.5" x14ac:dyDescent="0.3">
      <c r="A139" s="135" t="s">
        <v>573</v>
      </c>
      <c r="B139" s="20" t="str">
        <f t="shared" si="3"/>
        <v>타겟바닥</v>
      </c>
      <c r="C139" s="5" t="str">
        <f t="shared" si="3"/>
        <v>타겟의 바닥에 생성된다. 지면에 깔리는 류(ex:장판)의 이펙트라면 이것을 사용해야 한다.</v>
      </c>
    </row>
    <row r="140" spans="1:3" x14ac:dyDescent="0.3">
      <c r="A140" s="135"/>
      <c r="B140" s="20" t="str">
        <f t="shared" si="3"/>
        <v>타겟중심</v>
      </c>
      <c r="C140" s="5" t="str">
        <f t="shared" si="3"/>
        <v>타겟의 중심에 생성된다</v>
      </c>
    </row>
    <row r="141" spans="1:3" x14ac:dyDescent="0.3">
      <c r="A141" s="135"/>
      <c r="B141" s="20" t="str">
        <f t="shared" si="3"/>
        <v>타겟머리</v>
      </c>
      <c r="C141" s="5" t="str">
        <f t="shared" si="3"/>
        <v>타겟의 머리위에 생성된다.</v>
      </c>
    </row>
    <row r="142" spans="1:3" x14ac:dyDescent="0.3">
      <c r="A142" s="135"/>
      <c r="B142" s="20" t="str">
        <f t="shared" si="3"/>
        <v>액션이벤트</v>
      </c>
      <c r="C142" s="5" t="str">
        <f t="shared" si="3"/>
        <v>스킬모션의 액션이벤트에 지정한 위치에에 생성된다.</v>
      </c>
    </row>
    <row r="143" spans="1:3" x14ac:dyDescent="0.3">
      <c r="A143" s="136"/>
      <c r="B143" s="20"/>
      <c r="C143" s="5"/>
    </row>
    <row r="144" spans="1:3" ht="22.5" x14ac:dyDescent="0.3">
      <c r="A144" s="17" t="s">
        <v>703</v>
      </c>
      <c r="B144" s="10" t="s">
        <v>106</v>
      </c>
      <c r="C144" s="4" t="s">
        <v>706</v>
      </c>
    </row>
    <row r="145" spans="1:14" ht="12" x14ac:dyDescent="0.3">
      <c r="A145" s="17" t="s">
        <v>704</v>
      </c>
      <c r="B145" s="10" t="s">
        <v>109</v>
      </c>
      <c r="C145" s="4" t="s">
        <v>110</v>
      </c>
    </row>
    <row r="146" spans="1:14" ht="12" x14ac:dyDescent="0.3">
      <c r="A146" s="18" t="s">
        <v>705</v>
      </c>
      <c r="B146" s="20" t="str">
        <f t="shared" ref="B146:C146" si="4">B47</f>
        <v>정수형</v>
      </c>
      <c r="C146" s="5" t="str">
        <f t="shared" si="4"/>
        <v>spr파일 액션번호. 따로 지정하지 않으면 기본 1이 된다.</v>
      </c>
    </row>
    <row r="147" spans="1:14" ht="22.5" x14ac:dyDescent="0.3">
      <c r="A147" s="135" t="s">
        <v>573</v>
      </c>
      <c r="B147" s="20" t="str">
        <f t="shared" ref="B147:C147" si="5">B48</f>
        <v>타겟좌표</v>
      </c>
      <c r="C147" s="5" t="str">
        <f t="shared" si="5"/>
        <v>타겟의 발빝에 생성된다. 스킬 지속시간이 있을경우 목표를 따라다닌다.</v>
      </c>
    </row>
    <row r="148" spans="1:14" x14ac:dyDescent="0.3">
      <c r="A148" s="135"/>
      <c r="B148" s="20" t="str">
        <f t="shared" ref="B148:C148" si="6">B49</f>
        <v>타겟바닥</v>
      </c>
      <c r="C148" s="5" t="str">
        <f t="shared" si="6"/>
        <v>타겟의 바닥에 생성된다. 지면에 깔리는 류(ex:장판)의 이펙트라면 이것을 사용해야 한다.</v>
      </c>
    </row>
    <row r="149" spans="1:14" x14ac:dyDescent="0.3">
      <c r="A149" s="135"/>
      <c r="B149" s="20" t="str">
        <f t="shared" ref="B149:C149" si="7">B50</f>
        <v>타겟중심</v>
      </c>
      <c r="C149" s="5" t="str">
        <f t="shared" si="7"/>
        <v>타겟의 중심에 생성된다</v>
      </c>
    </row>
    <row r="150" spans="1:14" x14ac:dyDescent="0.3">
      <c r="A150" s="135"/>
      <c r="B150" s="20" t="str">
        <f t="shared" ref="B150:C150" si="8">B51</f>
        <v>타겟머리</v>
      </c>
      <c r="C150" s="5" t="str">
        <f t="shared" si="8"/>
        <v>타겟의 머리위에 생성된다.</v>
      </c>
    </row>
    <row r="151" spans="1:14" x14ac:dyDescent="0.3">
      <c r="A151" s="136"/>
      <c r="B151" s="20"/>
      <c r="C151" s="5"/>
    </row>
    <row r="152" spans="1:14" ht="22.5" x14ac:dyDescent="0.3">
      <c r="A152" s="86" t="s">
        <v>586</v>
      </c>
      <c r="B152" s="20" t="s">
        <v>482</v>
      </c>
      <c r="C152" s="5" t="s">
        <v>510</v>
      </c>
    </row>
    <row r="153" spans="1:14" ht="33.75" x14ac:dyDescent="0.3">
      <c r="A153" s="18" t="s">
        <v>96</v>
      </c>
      <c r="B153" s="20" t="s">
        <v>102</v>
      </c>
      <c r="C153" s="4" t="s">
        <v>587</v>
      </c>
    </row>
    <row r="154" spans="1:14" ht="12" customHeight="1" x14ac:dyDescent="0.3">
      <c r="A154" s="135" t="s">
        <v>51</v>
      </c>
      <c r="B154" s="23"/>
      <c r="C154" s="124"/>
    </row>
    <row r="155" spans="1:14" x14ac:dyDescent="0.3">
      <c r="A155" s="135"/>
      <c r="B155" s="23"/>
      <c r="C155" s="124"/>
    </row>
    <row r="156" spans="1:14" x14ac:dyDescent="0.3">
      <c r="A156" s="135"/>
      <c r="B156" s="23"/>
      <c r="C156" s="124"/>
    </row>
    <row r="157" spans="1:14" x14ac:dyDescent="0.3">
      <c r="A157" s="135"/>
      <c r="B157" s="23"/>
      <c r="C157" s="124"/>
    </row>
    <row r="158" spans="1:14" x14ac:dyDescent="0.3">
      <c r="A158" s="135"/>
      <c r="B158" s="23"/>
      <c r="C158" s="124"/>
    </row>
    <row r="159" spans="1:14" x14ac:dyDescent="0.3">
      <c r="A159" s="136"/>
      <c r="B159" s="23"/>
      <c r="C159" s="124"/>
    </row>
    <row r="160" spans="1:14" ht="22.5" x14ac:dyDescent="0.3">
      <c r="A160" s="117" t="s">
        <v>97</v>
      </c>
      <c r="B160" s="10" t="s">
        <v>52</v>
      </c>
      <c r="C160" s="4" t="s">
        <v>698</v>
      </c>
      <c r="F160" s="108" t="s">
        <v>627</v>
      </c>
      <c r="N160" s="108" t="s">
        <v>627</v>
      </c>
    </row>
    <row r="161" spans="1:19" ht="12" x14ac:dyDescent="0.3">
      <c r="A161" s="118" t="s">
        <v>699</v>
      </c>
      <c r="B161" s="160" t="s">
        <v>696</v>
      </c>
      <c r="C161" s="4" t="s">
        <v>697</v>
      </c>
      <c r="F161" s="108">
        <v>2</v>
      </c>
      <c r="N161" s="108">
        <v>2</v>
      </c>
    </row>
    <row r="162" spans="1:19" ht="11.25" customHeight="1" x14ac:dyDescent="0.3">
      <c r="A162" s="22" t="s">
        <v>125</v>
      </c>
      <c r="B162" s="29" t="s">
        <v>49</v>
      </c>
      <c r="C162" s="4" t="s">
        <v>27</v>
      </c>
      <c r="F162" s="108" t="s">
        <v>630</v>
      </c>
      <c r="I162" s="108" t="s">
        <v>631</v>
      </c>
      <c r="N162" s="108" t="s">
        <v>630</v>
      </c>
      <c r="O162" s="108" t="s">
        <v>635</v>
      </c>
      <c r="P162" s="108">
        <f>2+(2*-1.333)</f>
        <v>-0.66599999999999993</v>
      </c>
      <c r="Q162" s="2" t="s">
        <v>636</v>
      </c>
    </row>
    <row r="163" spans="1:19" ht="12" x14ac:dyDescent="0.3">
      <c r="A163" s="18" t="s">
        <v>98</v>
      </c>
      <c r="B163" s="20" t="s">
        <v>53</v>
      </c>
      <c r="C163" s="4"/>
      <c r="H163" s="108" t="s">
        <v>634</v>
      </c>
      <c r="J163" s="108" t="s">
        <v>628</v>
      </c>
      <c r="K163" s="108" t="s">
        <v>629</v>
      </c>
      <c r="N163" s="108"/>
      <c r="O163" s="111"/>
      <c r="S163" s="2" t="s">
        <v>637</v>
      </c>
    </row>
    <row r="164" spans="1:19" ht="11.25" customHeight="1" x14ac:dyDescent="0.3">
      <c r="A164" s="135" t="s">
        <v>63</v>
      </c>
      <c r="B164" s="20" t="s">
        <v>54</v>
      </c>
      <c r="C164" s="4"/>
      <c r="F164" s="108">
        <v>0.1</v>
      </c>
      <c r="G164" s="108">
        <f t="shared" ref="G164:G185" si="9">1/(F164+1)</f>
        <v>0.90909090909090906</v>
      </c>
      <c r="H164" s="108">
        <f t="shared" ref="H164:H185" si="10">speed*G164</f>
        <v>1.8181818181818181</v>
      </c>
      <c r="I164" s="108">
        <v>-0.1</v>
      </c>
      <c r="J164" s="108">
        <f>-(I164-1)</f>
        <v>1.1000000000000001</v>
      </c>
      <c r="K164" s="108">
        <f t="shared" ref="K164:K185" si="11">speed*J164</f>
        <v>2.2000000000000002</v>
      </c>
      <c r="N164" s="108">
        <v>0.1</v>
      </c>
      <c r="O164" s="108">
        <f>-(1/(N164+1)*N164)</f>
        <v>-9.0909090909090912E-2</v>
      </c>
      <c r="P164" s="108">
        <f t="shared" ref="P164:P185" si="12">speed+(speed*O164)</f>
        <v>1.8181818181818181</v>
      </c>
      <c r="Q164" s="108">
        <v>-0.1</v>
      </c>
      <c r="S164" s="2">
        <f t="shared" ref="S164:S185" si="13">speed+(speed*-Q164)</f>
        <v>2.2000000000000002</v>
      </c>
    </row>
    <row r="165" spans="1:19" x14ac:dyDescent="0.3">
      <c r="A165" s="135"/>
      <c r="B165" s="20" t="s">
        <v>55</v>
      </c>
      <c r="C165" s="4"/>
      <c r="F165" s="108">
        <v>0.2</v>
      </c>
      <c r="G165" s="108">
        <f t="shared" si="9"/>
        <v>0.83333333333333337</v>
      </c>
      <c r="H165" s="108">
        <f t="shared" si="10"/>
        <v>1.6666666666666667</v>
      </c>
      <c r="I165" s="108">
        <v>-0.2</v>
      </c>
      <c r="J165" s="108">
        <f t="shared" ref="J165:J172" si="14">-(I165-1)</f>
        <v>1.2</v>
      </c>
      <c r="K165" s="108">
        <f t="shared" si="11"/>
        <v>2.4</v>
      </c>
      <c r="N165" s="108">
        <v>0.2</v>
      </c>
      <c r="O165" s="108">
        <f t="shared" ref="O165:O185" si="15">-(1/(N165+1)*N165)</f>
        <v>-0.16666666666666669</v>
      </c>
      <c r="P165" s="108">
        <f t="shared" si="12"/>
        <v>1.6666666666666665</v>
      </c>
      <c r="Q165" s="108">
        <v>-0.2</v>
      </c>
      <c r="S165" s="2">
        <f t="shared" si="13"/>
        <v>2.4</v>
      </c>
    </row>
    <row r="166" spans="1:19" x14ac:dyDescent="0.3">
      <c r="A166" s="135"/>
      <c r="B166" s="27" t="s">
        <v>103</v>
      </c>
      <c r="C166" s="4"/>
      <c r="F166" s="108">
        <v>0.3</v>
      </c>
      <c r="G166" s="108">
        <f t="shared" si="9"/>
        <v>0.76923076923076916</v>
      </c>
      <c r="H166" s="108">
        <f t="shared" si="10"/>
        <v>1.5384615384615383</v>
      </c>
      <c r="I166" s="108">
        <v>-0.3</v>
      </c>
      <c r="J166" s="108">
        <f t="shared" si="14"/>
        <v>1.3</v>
      </c>
      <c r="K166" s="108">
        <f t="shared" si="11"/>
        <v>2.6</v>
      </c>
      <c r="N166" s="108">
        <v>0.3</v>
      </c>
      <c r="O166" s="108">
        <f t="shared" si="15"/>
        <v>-0.23076923076923073</v>
      </c>
      <c r="P166" s="108">
        <f t="shared" si="12"/>
        <v>1.5384615384615385</v>
      </c>
      <c r="Q166" s="108">
        <v>-0.3</v>
      </c>
      <c r="S166" s="2">
        <f t="shared" si="13"/>
        <v>2.6</v>
      </c>
    </row>
    <row r="167" spans="1:19" x14ac:dyDescent="0.3">
      <c r="A167" s="135"/>
      <c r="B167" s="27" t="s">
        <v>56</v>
      </c>
      <c r="C167" s="4"/>
      <c r="F167" s="108">
        <v>0.4</v>
      </c>
      <c r="G167" s="108">
        <f t="shared" si="9"/>
        <v>0.7142857142857143</v>
      </c>
      <c r="H167" s="108">
        <f t="shared" si="10"/>
        <v>1.4285714285714286</v>
      </c>
      <c r="I167" s="108">
        <v>-0.4</v>
      </c>
      <c r="J167" s="108">
        <f t="shared" si="14"/>
        <v>1.4</v>
      </c>
      <c r="K167" s="108">
        <f t="shared" si="11"/>
        <v>2.8</v>
      </c>
      <c r="N167" s="108">
        <v>0.4</v>
      </c>
      <c r="O167" s="108">
        <f t="shared" si="15"/>
        <v>-0.28571428571428575</v>
      </c>
      <c r="P167" s="108">
        <f t="shared" si="12"/>
        <v>1.4285714285714284</v>
      </c>
      <c r="Q167" s="108">
        <v>-0.4</v>
      </c>
      <c r="S167" s="2">
        <f t="shared" si="13"/>
        <v>2.8</v>
      </c>
    </row>
    <row r="168" spans="1:19" x14ac:dyDescent="0.3">
      <c r="A168" s="135"/>
      <c r="B168" s="27" t="s">
        <v>57</v>
      </c>
      <c r="C168" s="4"/>
      <c r="F168" s="108">
        <v>0.5</v>
      </c>
      <c r="G168" s="108">
        <f t="shared" si="9"/>
        <v>0.66666666666666663</v>
      </c>
      <c r="H168" s="108">
        <f t="shared" si="10"/>
        <v>1.3333333333333333</v>
      </c>
      <c r="I168" s="108">
        <v>-0.5</v>
      </c>
      <c r="J168" s="108">
        <f t="shared" si="14"/>
        <v>1.5</v>
      </c>
      <c r="K168" s="108">
        <f t="shared" si="11"/>
        <v>3</v>
      </c>
      <c r="N168" s="108">
        <v>0.5</v>
      </c>
      <c r="O168" s="108">
        <f t="shared" si="15"/>
        <v>-0.33333333333333331</v>
      </c>
      <c r="P168" s="108">
        <f t="shared" si="12"/>
        <v>1.3333333333333335</v>
      </c>
      <c r="Q168" s="108">
        <v>-0.5</v>
      </c>
      <c r="S168" s="2">
        <f t="shared" si="13"/>
        <v>3</v>
      </c>
    </row>
    <row r="169" spans="1:19" ht="22.5" x14ac:dyDescent="0.3">
      <c r="A169" s="135"/>
      <c r="B169" s="27" t="s">
        <v>58</v>
      </c>
      <c r="C169" s="4" t="s">
        <v>676</v>
      </c>
      <c r="F169" s="108">
        <v>0.6</v>
      </c>
      <c r="G169" s="108">
        <f t="shared" si="9"/>
        <v>0.625</v>
      </c>
      <c r="H169" s="108">
        <f t="shared" si="10"/>
        <v>1.25</v>
      </c>
      <c r="I169" s="108">
        <v>-0.6</v>
      </c>
      <c r="J169" s="108">
        <f t="shared" si="14"/>
        <v>1.6</v>
      </c>
      <c r="K169" s="108">
        <f t="shared" si="11"/>
        <v>3.2</v>
      </c>
      <c r="N169" s="108">
        <v>0.6</v>
      </c>
      <c r="O169" s="108">
        <f t="shared" si="15"/>
        <v>-0.375</v>
      </c>
      <c r="P169" s="108">
        <f t="shared" si="12"/>
        <v>1.25</v>
      </c>
      <c r="Q169" s="108">
        <v>-0.6</v>
      </c>
      <c r="S169" s="2">
        <f t="shared" si="13"/>
        <v>3.2</v>
      </c>
    </row>
    <row r="170" spans="1:19" x14ac:dyDescent="0.3">
      <c r="A170" s="135"/>
      <c r="B170" s="27" t="s">
        <v>657</v>
      </c>
      <c r="C170" s="4"/>
      <c r="F170" s="108">
        <v>0.7</v>
      </c>
      <c r="G170" s="108">
        <f t="shared" si="9"/>
        <v>0.58823529411764708</v>
      </c>
      <c r="H170" s="108">
        <f t="shared" si="10"/>
        <v>1.1764705882352942</v>
      </c>
      <c r="I170" s="108">
        <v>-0.7</v>
      </c>
      <c r="J170" s="108">
        <f t="shared" si="14"/>
        <v>1.7</v>
      </c>
      <c r="K170" s="108">
        <f t="shared" si="11"/>
        <v>3.4</v>
      </c>
      <c r="N170" s="108">
        <v>0.7</v>
      </c>
      <c r="O170" s="108">
        <f t="shared" si="15"/>
        <v>-0.41176470588235292</v>
      </c>
      <c r="P170" s="108">
        <f t="shared" si="12"/>
        <v>1.1764705882352942</v>
      </c>
      <c r="Q170" s="108">
        <v>-0.7</v>
      </c>
      <c r="S170" s="2">
        <f t="shared" si="13"/>
        <v>3.4</v>
      </c>
    </row>
    <row r="171" spans="1:19" x14ac:dyDescent="0.3">
      <c r="A171" s="135"/>
      <c r="B171" s="27" t="s">
        <v>554</v>
      </c>
      <c r="C171" s="4"/>
      <c r="F171" s="108">
        <v>0.8</v>
      </c>
      <c r="G171" s="108">
        <f t="shared" si="9"/>
        <v>0.55555555555555558</v>
      </c>
      <c r="H171" s="108">
        <f t="shared" si="10"/>
        <v>1.1111111111111112</v>
      </c>
      <c r="I171" s="108">
        <v>-0.8</v>
      </c>
      <c r="J171" s="108">
        <f t="shared" si="14"/>
        <v>1.8</v>
      </c>
      <c r="K171" s="108">
        <f t="shared" si="11"/>
        <v>3.6</v>
      </c>
      <c r="N171" s="108">
        <v>0.8</v>
      </c>
      <c r="O171" s="108">
        <f t="shared" si="15"/>
        <v>-0.44444444444444448</v>
      </c>
      <c r="P171" s="108">
        <f t="shared" si="12"/>
        <v>1.1111111111111112</v>
      </c>
      <c r="Q171" s="108">
        <v>-0.8</v>
      </c>
      <c r="S171" s="2">
        <f t="shared" si="13"/>
        <v>3.6</v>
      </c>
    </row>
    <row r="172" spans="1:19" x14ac:dyDescent="0.3">
      <c r="A172" s="135"/>
      <c r="B172" s="27" t="s">
        <v>556</v>
      </c>
      <c r="C172" s="4" t="s">
        <v>559</v>
      </c>
      <c r="F172" s="108">
        <v>0.9</v>
      </c>
      <c r="G172" s="108">
        <f t="shared" si="9"/>
        <v>0.52631578947368418</v>
      </c>
      <c r="H172" s="108">
        <f t="shared" si="10"/>
        <v>1.0526315789473684</v>
      </c>
      <c r="I172" s="108">
        <v>-0.9</v>
      </c>
      <c r="J172" s="108">
        <f t="shared" si="14"/>
        <v>1.9</v>
      </c>
      <c r="K172" s="108">
        <f t="shared" si="11"/>
        <v>3.8</v>
      </c>
      <c r="N172" s="108">
        <v>0.9</v>
      </c>
      <c r="O172" s="108">
        <f t="shared" si="15"/>
        <v>-0.47368421052631576</v>
      </c>
      <c r="P172" s="108">
        <f t="shared" si="12"/>
        <v>1.0526315789473686</v>
      </c>
      <c r="Q172" s="108">
        <v>-0.9</v>
      </c>
      <c r="S172" s="2">
        <f t="shared" si="13"/>
        <v>3.8</v>
      </c>
    </row>
    <row r="173" spans="1:19" x14ac:dyDescent="0.3">
      <c r="A173" s="135"/>
      <c r="B173" s="27" t="s">
        <v>557</v>
      </c>
      <c r="C173" s="4" t="s">
        <v>560</v>
      </c>
      <c r="E173" s="2" t="s">
        <v>633</v>
      </c>
      <c r="F173" s="108">
        <v>1</v>
      </c>
      <c r="G173" s="108">
        <f t="shared" si="9"/>
        <v>0.5</v>
      </c>
      <c r="H173" s="108">
        <f t="shared" si="10"/>
        <v>1</v>
      </c>
      <c r="I173" s="108">
        <v>-1</v>
      </c>
      <c r="J173" s="108">
        <f>-(I173-1)</f>
        <v>2</v>
      </c>
      <c r="K173" s="108">
        <f t="shared" si="11"/>
        <v>4</v>
      </c>
      <c r="N173" s="112">
        <v>1</v>
      </c>
      <c r="O173" s="112">
        <f t="shared" si="15"/>
        <v>-0.5</v>
      </c>
      <c r="P173" s="112">
        <f t="shared" si="12"/>
        <v>1</v>
      </c>
      <c r="Q173" s="112">
        <v>-1</v>
      </c>
      <c r="S173" s="2">
        <f t="shared" si="13"/>
        <v>4</v>
      </c>
    </row>
    <row r="174" spans="1:19" x14ac:dyDescent="0.3">
      <c r="A174" s="135"/>
      <c r="B174" s="27" t="s">
        <v>558</v>
      </c>
      <c r="C174" s="4" t="s">
        <v>560</v>
      </c>
      <c r="F174" s="108">
        <v>1.1000000000000001</v>
      </c>
      <c r="G174" s="108">
        <f t="shared" si="9"/>
        <v>0.47619047619047616</v>
      </c>
      <c r="H174" s="108">
        <f t="shared" si="10"/>
        <v>0.95238095238095233</v>
      </c>
      <c r="I174" s="108">
        <v>-1.1000000000000001</v>
      </c>
      <c r="J174" s="108">
        <f t="shared" ref="J174:J185" si="16">-(I174-1)</f>
        <v>2.1</v>
      </c>
      <c r="K174" s="108">
        <f t="shared" si="11"/>
        <v>4.2</v>
      </c>
      <c r="N174" s="108">
        <v>1.1000000000000001</v>
      </c>
      <c r="O174" s="108">
        <f t="shared" si="15"/>
        <v>-0.52380952380952384</v>
      </c>
      <c r="P174" s="108">
        <f t="shared" si="12"/>
        <v>0.95238095238095233</v>
      </c>
      <c r="Q174" s="108">
        <v>-1.1000000000000001</v>
      </c>
      <c r="S174" s="2">
        <f t="shared" si="13"/>
        <v>4.2</v>
      </c>
    </row>
    <row r="175" spans="1:19" x14ac:dyDescent="0.3">
      <c r="A175" s="135"/>
      <c r="B175" s="27" t="s">
        <v>562</v>
      </c>
      <c r="C175" s="4" t="s">
        <v>560</v>
      </c>
      <c r="F175" s="108">
        <v>1.2</v>
      </c>
      <c r="G175" s="108">
        <f t="shared" si="9"/>
        <v>0.45454545454545453</v>
      </c>
      <c r="H175" s="108">
        <f t="shared" si="10"/>
        <v>0.90909090909090906</v>
      </c>
      <c r="I175" s="108">
        <v>-1.2</v>
      </c>
      <c r="J175" s="108">
        <f t="shared" si="16"/>
        <v>2.2000000000000002</v>
      </c>
      <c r="K175" s="108">
        <f t="shared" si="11"/>
        <v>4.4000000000000004</v>
      </c>
      <c r="N175" s="108">
        <v>1.2</v>
      </c>
      <c r="O175" s="108">
        <f t="shared" si="15"/>
        <v>-0.54545454545454541</v>
      </c>
      <c r="P175" s="108">
        <f t="shared" si="12"/>
        <v>0.90909090909090917</v>
      </c>
      <c r="Q175" s="108">
        <v>-1.2</v>
      </c>
      <c r="S175" s="2">
        <f t="shared" si="13"/>
        <v>4.4000000000000004</v>
      </c>
    </row>
    <row r="176" spans="1:19" x14ac:dyDescent="0.3">
      <c r="A176" s="135"/>
      <c r="B176" s="27" t="s">
        <v>561</v>
      </c>
      <c r="C176" s="4" t="s">
        <v>560</v>
      </c>
      <c r="F176" s="108">
        <v>1.3</v>
      </c>
      <c r="G176" s="108">
        <f t="shared" si="9"/>
        <v>0.43478260869565222</v>
      </c>
      <c r="H176" s="108">
        <f t="shared" si="10"/>
        <v>0.86956521739130443</v>
      </c>
      <c r="I176" s="108">
        <v>-1.3</v>
      </c>
      <c r="J176" s="108">
        <f t="shared" si="16"/>
        <v>2.2999999999999998</v>
      </c>
      <c r="K176" s="108">
        <f t="shared" si="11"/>
        <v>4.5999999999999996</v>
      </c>
      <c r="N176" s="108">
        <v>1.3</v>
      </c>
      <c r="O176" s="108">
        <f t="shared" si="15"/>
        <v>-0.56521739130434789</v>
      </c>
      <c r="P176" s="108">
        <f t="shared" si="12"/>
        <v>0.86956521739130421</v>
      </c>
      <c r="Q176" s="108">
        <v>-1.3</v>
      </c>
      <c r="S176" s="2">
        <f t="shared" si="13"/>
        <v>4.5999999999999996</v>
      </c>
    </row>
    <row r="177" spans="1:19" x14ac:dyDescent="0.3">
      <c r="A177" s="135"/>
      <c r="B177" s="27" t="s">
        <v>60</v>
      </c>
      <c r="C177" s="4"/>
      <c r="F177" s="108">
        <v>1.4</v>
      </c>
      <c r="G177" s="108">
        <f t="shared" si="9"/>
        <v>0.41666666666666669</v>
      </c>
      <c r="H177" s="108">
        <f t="shared" si="10"/>
        <v>0.83333333333333337</v>
      </c>
      <c r="I177" s="108">
        <v>-1.4</v>
      </c>
      <c r="J177" s="108">
        <f t="shared" si="16"/>
        <v>2.4</v>
      </c>
      <c r="K177" s="108">
        <f t="shared" si="11"/>
        <v>4.8</v>
      </c>
      <c r="N177" s="108">
        <v>1.4</v>
      </c>
      <c r="O177" s="108">
        <f t="shared" si="15"/>
        <v>-0.58333333333333337</v>
      </c>
      <c r="P177" s="108">
        <f t="shared" si="12"/>
        <v>0.83333333333333326</v>
      </c>
      <c r="Q177" s="108">
        <v>-1.4</v>
      </c>
      <c r="S177" s="2">
        <f t="shared" si="13"/>
        <v>4.8</v>
      </c>
    </row>
    <row r="178" spans="1:19" x14ac:dyDescent="0.3">
      <c r="A178" s="135"/>
      <c r="B178" s="27" t="s">
        <v>61</v>
      </c>
      <c r="C178" s="4"/>
      <c r="F178" s="108">
        <v>1.5</v>
      </c>
      <c r="G178" s="108">
        <f t="shared" si="9"/>
        <v>0.4</v>
      </c>
      <c r="H178" s="108">
        <f t="shared" si="10"/>
        <v>0.8</v>
      </c>
      <c r="I178" s="108">
        <v>-1.5</v>
      </c>
      <c r="J178" s="108">
        <f t="shared" si="16"/>
        <v>2.5</v>
      </c>
      <c r="K178" s="108">
        <f t="shared" si="11"/>
        <v>5</v>
      </c>
      <c r="N178" s="108">
        <v>1.5</v>
      </c>
      <c r="O178" s="108">
        <f t="shared" si="15"/>
        <v>-0.60000000000000009</v>
      </c>
      <c r="P178" s="108">
        <f t="shared" si="12"/>
        <v>0.79999999999999982</v>
      </c>
      <c r="Q178" s="108">
        <v>-1.5</v>
      </c>
      <c r="S178" s="2">
        <f t="shared" si="13"/>
        <v>5</v>
      </c>
    </row>
    <row r="179" spans="1:19" s="32" customFormat="1" x14ac:dyDescent="0.3">
      <c r="A179" s="135"/>
      <c r="B179" s="96" t="s">
        <v>62</v>
      </c>
      <c r="C179" s="80" t="s">
        <v>544</v>
      </c>
      <c r="F179" s="108">
        <v>1.6</v>
      </c>
      <c r="G179" s="108">
        <f t="shared" si="9"/>
        <v>0.38461538461538458</v>
      </c>
      <c r="H179" s="108">
        <f t="shared" si="10"/>
        <v>0.76923076923076916</v>
      </c>
      <c r="I179" s="108">
        <v>-1.6</v>
      </c>
      <c r="J179" s="108">
        <f t="shared" si="16"/>
        <v>2.6</v>
      </c>
      <c r="K179" s="108">
        <f t="shared" si="11"/>
        <v>5.2</v>
      </c>
      <c r="N179" s="108">
        <v>1.6</v>
      </c>
      <c r="O179" s="108">
        <f t="shared" si="15"/>
        <v>-0.61538461538461542</v>
      </c>
      <c r="P179" s="108">
        <f t="shared" si="12"/>
        <v>0.76923076923076916</v>
      </c>
      <c r="Q179" s="108">
        <v>-1.6</v>
      </c>
      <c r="S179" s="2">
        <f t="shared" si="13"/>
        <v>5.2</v>
      </c>
    </row>
    <row r="180" spans="1:19" s="32" customFormat="1" x14ac:dyDescent="0.3">
      <c r="A180" s="135"/>
      <c r="B180" s="27" t="s">
        <v>156</v>
      </c>
      <c r="C180" s="97" t="s">
        <v>545</v>
      </c>
      <c r="F180" s="108">
        <v>1.7</v>
      </c>
      <c r="G180" s="108">
        <f t="shared" si="9"/>
        <v>0.37037037037037035</v>
      </c>
      <c r="H180" s="108">
        <f t="shared" si="10"/>
        <v>0.7407407407407407</v>
      </c>
      <c r="I180" s="108">
        <v>-1.7</v>
      </c>
      <c r="J180" s="108">
        <f t="shared" si="16"/>
        <v>2.7</v>
      </c>
      <c r="K180" s="108">
        <f t="shared" si="11"/>
        <v>5.4</v>
      </c>
      <c r="N180" s="108">
        <v>1.7</v>
      </c>
      <c r="O180" s="108">
        <f t="shared" si="15"/>
        <v>-0.62962962962962954</v>
      </c>
      <c r="P180" s="108">
        <f t="shared" si="12"/>
        <v>0.74074074074074092</v>
      </c>
      <c r="Q180" s="108">
        <v>-1.7</v>
      </c>
      <c r="S180" s="2">
        <f t="shared" si="13"/>
        <v>5.4</v>
      </c>
    </row>
    <row r="181" spans="1:19" s="32" customFormat="1" ht="22.5" x14ac:dyDescent="0.3">
      <c r="A181" s="135"/>
      <c r="B181" s="27" t="s">
        <v>669</v>
      </c>
      <c r="C181" s="89" t="s">
        <v>670</v>
      </c>
      <c r="F181" s="108"/>
      <c r="G181" s="108"/>
      <c r="H181" s="108"/>
      <c r="I181" s="108"/>
      <c r="J181" s="108"/>
      <c r="K181" s="108"/>
      <c r="N181" s="108"/>
      <c r="O181" s="108"/>
      <c r="P181" s="108"/>
      <c r="Q181" s="108"/>
      <c r="S181" s="2"/>
    </row>
    <row r="182" spans="1:19" s="32" customFormat="1" x14ac:dyDescent="0.3">
      <c r="A182" s="135"/>
      <c r="B182" s="27" t="s">
        <v>536</v>
      </c>
      <c r="C182" s="89" t="s">
        <v>665</v>
      </c>
      <c r="F182" s="108">
        <v>1.8</v>
      </c>
      <c r="G182" s="108">
        <f t="shared" si="9"/>
        <v>0.35714285714285715</v>
      </c>
      <c r="H182" s="108">
        <f t="shared" si="10"/>
        <v>0.7142857142857143</v>
      </c>
      <c r="I182" s="108">
        <v>-1.8</v>
      </c>
      <c r="J182" s="108">
        <f t="shared" si="16"/>
        <v>2.8</v>
      </c>
      <c r="K182" s="108">
        <f t="shared" si="11"/>
        <v>5.6</v>
      </c>
      <c r="N182" s="108">
        <v>1.8</v>
      </c>
      <c r="O182" s="108">
        <f t="shared" si="15"/>
        <v>-0.6428571428571429</v>
      </c>
      <c r="P182" s="108">
        <f t="shared" si="12"/>
        <v>0.71428571428571419</v>
      </c>
      <c r="Q182" s="108">
        <v>-1.8</v>
      </c>
      <c r="S182" s="2">
        <f t="shared" si="13"/>
        <v>5.6</v>
      </c>
    </row>
    <row r="183" spans="1:19" s="32" customFormat="1" x14ac:dyDescent="0.3">
      <c r="A183" s="135"/>
      <c r="B183" s="27" t="s">
        <v>664</v>
      </c>
      <c r="C183" s="89" t="s">
        <v>666</v>
      </c>
      <c r="F183" s="108">
        <v>1.8</v>
      </c>
      <c r="G183" s="108">
        <f>1/(F183+1)</f>
        <v>0.35714285714285715</v>
      </c>
      <c r="H183" s="108">
        <f>speed*G183</f>
        <v>0.7142857142857143</v>
      </c>
      <c r="I183" s="108">
        <v>-1.8</v>
      </c>
      <c r="J183" s="108">
        <f>-(I183-1)</f>
        <v>2.8</v>
      </c>
      <c r="K183" s="108">
        <f>speed*J183</f>
        <v>5.6</v>
      </c>
      <c r="N183" s="108">
        <v>1.8</v>
      </c>
      <c r="O183" s="108">
        <f>-(1/(N183+1)*N183)</f>
        <v>-0.6428571428571429</v>
      </c>
      <c r="P183" s="108">
        <f>speed+(speed*O183)</f>
        <v>0.71428571428571419</v>
      </c>
      <c r="Q183" s="108">
        <v>-1.8</v>
      </c>
      <c r="S183" s="2">
        <f>speed+(speed*-Q183)</f>
        <v>5.6</v>
      </c>
    </row>
    <row r="184" spans="1:19" x14ac:dyDescent="0.3">
      <c r="A184" s="135"/>
      <c r="B184" s="27" t="s">
        <v>563</v>
      </c>
      <c r="C184" s="4" t="s">
        <v>566</v>
      </c>
      <c r="F184" s="108">
        <v>1.9</v>
      </c>
      <c r="G184" s="108">
        <f t="shared" si="9"/>
        <v>0.34482758620689657</v>
      </c>
      <c r="H184" s="108">
        <f t="shared" si="10"/>
        <v>0.68965517241379315</v>
      </c>
      <c r="I184" s="108">
        <v>-1.9</v>
      </c>
      <c r="J184" s="108">
        <f t="shared" si="16"/>
        <v>2.9</v>
      </c>
      <c r="K184" s="108">
        <f t="shared" si="11"/>
        <v>5.8</v>
      </c>
      <c r="N184" s="108">
        <v>1.9</v>
      </c>
      <c r="O184" s="108">
        <f t="shared" si="15"/>
        <v>-0.65517241379310343</v>
      </c>
      <c r="P184" s="108">
        <f t="shared" si="12"/>
        <v>0.68965517241379315</v>
      </c>
      <c r="Q184" s="108">
        <v>-1.9</v>
      </c>
      <c r="S184" s="2">
        <f t="shared" si="13"/>
        <v>5.8</v>
      </c>
    </row>
    <row r="185" spans="1:19" x14ac:dyDescent="0.3">
      <c r="A185" s="135"/>
      <c r="B185" s="27" t="s">
        <v>564</v>
      </c>
      <c r="C185" s="4" t="s">
        <v>560</v>
      </c>
      <c r="E185" s="2" t="s">
        <v>632</v>
      </c>
      <c r="F185" s="108">
        <v>2</v>
      </c>
      <c r="G185" s="108">
        <f t="shared" si="9"/>
        <v>0.33333333333333331</v>
      </c>
      <c r="H185" s="108">
        <f t="shared" si="10"/>
        <v>0.66666666666666663</v>
      </c>
      <c r="I185" s="108">
        <v>-2</v>
      </c>
      <c r="J185" s="108">
        <f t="shared" si="16"/>
        <v>3</v>
      </c>
      <c r="K185" s="108">
        <f t="shared" si="11"/>
        <v>6</v>
      </c>
      <c r="N185" s="112">
        <v>2</v>
      </c>
      <c r="O185" s="112">
        <f t="shared" si="15"/>
        <v>-0.66666666666666663</v>
      </c>
      <c r="P185" s="112">
        <f t="shared" si="12"/>
        <v>0.66666666666666674</v>
      </c>
      <c r="Q185" s="112">
        <v>-2</v>
      </c>
      <c r="S185" s="2">
        <f t="shared" si="13"/>
        <v>6</v>
      </c>
    </row>
    <row r="186" spans="1:19" x14ac:dyDescent="0.3">
      <c r="A186" s="135"/>
      <c r="B186" s="27" t="s">
        <v>565</v>
      </c>
      <c r="C186" s="4" t="s">
        <v>560</v>
      </c>
    </row>
    <row r="187" spans="1:19" ht="22.5" x14ac:dyDescent="0.3">
      <c r="A187" s="135"/>
      <c r="B187" s="27" t="s">
        <v>546</v>
      </c>
      <c r="C187" s="89" t="s">
        <v>547</v>
      </c>
    </row>
    <row r="188" spans="1:19" ht="22.5" x14ac:dyDescent="0.3">
      <c r="A188" s="135"/>
      <c r="B188" s="27" t="s">
        <v>555</v>
      </c>
      <c r="C188" s="89" t="s">
        <v>542</v>
      </c>
    </row>
    <row r="189" spans="1:19" x14ac:dyDescent="0.3">
      <c r="A189" s="135"/>
      <c r="B189" s="27" t="s">
        <v>624</v>
      </c>
      <c r="C189" s="89" t="s">
        <v>543</v>
      </c>
    </row>
    <row r="190" spans="1:19" s="32" customFormat="1" ht="22.5" x14ac:dyDescent="0.3">
      <c r="A190" s="135"/>
      <c r="B190" s="20" t="s">
        <v>68</v>
      </c>
      <c r="C190" s="4" t="s">
        <v>69</v>
      </c>
      <c r="F190" s="110"/>
      <c r="G190" s="110"/>
      <c r="H190" s="110"/>
      <c r="I190" s="110"/>
      <c r="J190" s="110"/>
      <c r="K190" s="110"/>
      <c r="O190" s="110"/>
      <c r="P190" s="110"/>
    </row>
    <row r="191" spans="1:19" x14ac:dyDescent="0.3">
      <c r="A191" s="135"/>
      <c r="B191" s="20" t="s">
        <v>598</v>
      </c>
      <c r="C191" s="4" t="s">
        <v>599</v>
      </c>
    </row>
    <row r="192" spans="1:19" x14ac:dyDescent="0.3">
      <c r="A192" s="137"/>
      <c r="B192" s="20" t="s">
        <v>620</v>
      </c>
      <c r="C192" s="4" t="s">
        <v>621</v>
      </c>
    </row>
    <row r="193" spans="1:3" x14ac:dyDescent="0.3">
      <c r="A193" s="137"/>
      <c r="B193" s="20" t="s">
        <v>662</v>
      </c>
      <c r="C193" s="4" t="s">
        <v>663</v>
      </c>
    </row>
    <row r="194" spans="1:3" ht="22.5" x14ac:dyDescent="0.3">
      <c r="A194" s="137"/>
      <c r="B194" s="20" t="s">
        <v>622</v>
      </c>
      <c r="C194" s="4" t="s">
        <v>623</v>
      </c>
    </row>
    <row r="195" spans="1:3" ht="22.5" x14ac:dyDescent="0.3">
      <c r="A195" s="137"/>
      <c r="B195" s="20" t="s">
        <v>611</v>
      </c>
      <c r="C195" s="4" t="s">
        <v>612</v>
      </c>
    </row>
    <row r="196" spans="1:3" x14ac:dyDescent="0.3">
      <c r="A196" s="137"/>
      <c r="B196" s="20" t="s">
        <v>694</v>
      </c>
      <c r="C196" s="4" t="s">
        <v>695</v>
      </c>
    </row>
    <row r="197" spans="1:3" ht="22.5" x14ac:dyDescent="0.3">
      <c r="A197" s="137"/>
      <c r="B197" s="23" t="s">
        <v>609</v>
      </c>
      <c r="C197" s="4" t="s">
        <v>610</v>
      </c>
    </row>
    <row r="198" spans="1:3" x14ac:dyDescent="0.3">
      <c r="A198" s="105"/>
      <c r="B198" s="23" t="s">
        <v>667</v>
      </c>
      <c r="C198" s="4" t="s">
        <v>668</v>
      </c>
    </row>
    <row r="199" spans="1:3" x14ac:dyDescent="0.3">
      <c r="A199" s="105"/>
      <c r="B199" s="23" t="s">
        <v>674</v>
      </c>
      <c r="C199" s="4" t="s">
        <v>675</v>
      </c>
    </row>
    <row r="200" spans="1:3" x14ac:dyDescent="0.3">
      <c r="A200" s="105"/>
      <c r="B200" s="106" t="s">
        <v>626</v>
      </c>
      <c r="C200" s="107" t="s">
        <v>625</v>
      </c>
    </row>
    <row r="201" spans="1:3" ht="12" x14ac:dyDescent="0.3">
      <c r="A201" s="18" t="s">
        <v>99</v>
      </c>
      <c r="B201" s="122" t="s">
        <v>64</v>
      </c>
      <c r="C201" s="123" t="s">
        <v>648</v>
      </c>
    </row>
    <row r="202" spans="1:3" ht="12" customHeight="1" x14ac:dyDescent="0.3">
      <c r="A202" s="135" t="s">
        <v>67</v>
      </c>
      <c r="B202" s="122"/>
      <c r="C202" s="123"/>
    </row>
    <row r="203" spans="1:3" ht="30" customHeight="1" x14ac:dyDescent="0.3">
      <c r="A203" s="135"/>
      <c r="B203" s="122"/>
      <c r="C203" s="123"/>
    </row>
    <row r="204" spans="1:3" ht="16.5" customHeight="1" x14ac:dyDescent="0.3">
      <c r="A204" s="135"/>
      <c r="B204" s="122"/>
      <c r="C204" s="123"/>
    </row>
    <row r="205" spans="1:3" ht="16.5" customHeight="1" x14ac:dyDescent="0.3">
      <c r="A205" s="135"/>
      <c r="B205" s="122"/>
      <c r="C205" s="123"/>
    </row>
    <row r="206" spans="1:3" x14ac:dyDescent="0.3">
      <c r="A206" s="135"/>
      <c r="B206" s="122" t="s">
        <v>65</v>
      </c>
      <c r="C206" s="123" t="s">
        <v>649</v>
      </c>
    </row>
    <row r="207" spans="1:3" ht="16.5" customHeight="1" x14ac:dyDescent="0.3">
      <c r="A207" s="135"/>
      <c r="B207" s="122"/>
      <c r="C207" s="123"/>
    </row>
    <row r="208" spans="1:3" ht="22.5" customHeight="1" x14ac:dyDescent="0.3">
      <c r="A208" s="135"/>
      <c r="B208" s="122"/>
      <c r="C208" s="123"/>
    </row>
    <row r="209" spans="1:3" ht="16.5" customHeight="1" x14ac:dyDescent="0.3">
      <c r="A209" s="135"/>
      <c r="B209" s="122"/>
      <c r="C209" s="123"/>
    </row>
    <row r="210" spans="1:3" ht="16.5" customHeight="1" x14ac:dyDescent="0.3">
      <c r="A210" s="135"/>
      <c r="B210" s="122"/>
      <c r="C210" s="123"/>
    </row>
    <row r="211" spans="1:3" ht="22.5" customHeight="1" x14ac:dyDescent="0.3">
      <c r="A211" s="135"/>
      <c r="B211" s="122" t="s">
        <v>66</v>
      </c>
      <c r="C211" s="123" t="s">
        <v>650</v>
      </c>
    </row>
    <row r="212" spans="1:3" ht="16.5" customHeight="1" x14ac:dyDescent="0.3">
      <c r="A212" s="135"/>
      <c r="B212" s="122"/>
      <c r="C212" s="123"/>
    </row>
    <row r="213" spans="1:3" ht="16.5" customHeight="1" x14ac:dyDescent="0.3">
      <c r="A213" s="135"/>
      <c r="B213" s="122"/>
      <c r="C213" s="123"/>
    </row>
    <row r="214" spans="1:3" ht="16.5" customHeight="1" x14ac:dyDescent="0.3">
      <c r="A214" s="135"/>
      <c r="B214" s="122"/>
      <c r="C214" s="123"/>
    </row>
    <row r="215" spans="1:3" ht="16.5" customHeight="1" x14ac:dyDescent="0.3">
      <c r="A215" s="135"/>
      <c r="B215" s="122"/>
      <c r="C215" s="123"/>
    </row>
    <row r="216" spans="1:3" ht="16.5" customHeight="1" x14ac:dyDescent="0.3">
      <c r="A216" s="137"/>
      <c r="B216" s="122"/>
      <c r="C216" s="123"/>
    </row>
    <row r="217" spans="1:3" ht="33.75" customHeight="1" x14ac:dyDescent="0.3">
      <c r="A217" s="18" t="s">
        <v>511</v>
      </c>
      <c r="B217" s="127" t="s">
        <v>512</v>
      </c>
      <c r="C217" s="138" t="s">
        <v>651</v>
      </c>
    </row>
    <row r="218" spans="1:3" ht="33.75" x14ac:dyDescent="0.3">
      <c r="A218" s="88" t="s">
        <v>514</v>
      </c>
      <c r="B218" s="128"/>
      <c r="C218" s="139"/>
    </row>
    <row r="219" spans="1:3" ht="22.5" x14ac:dyDescent="0.3">
      <c r="A219" s="17" t="s">
        <v>570</v>
      </c>
      <c r="B219" s="10" t="s">
        <v>19</v>
      </c>
      <c r="C219" s="4" t="s">
        <v>574</v>
      </c>
    </row>
    <row r="220" spans="1:3" ht="12" x14ac:dyDescent="0.3">
      <c r="A220" s="17" t="s">
        <v>571</v>
      </c>
      <c r="B220" s="10" t="s">
        <v>49</v>
      </c>
      <c r="C220" s="4" t="s">
        <v>110</v>
      </c>
    </row>
    <row r="221" spans="1:3" x14ac:dyDescent="0.3">
      <c r="A221" s="140" t="s">
        <v>572</v>
      </c>
      <c r="B221" s="10"/>
      <c r="C221" s="4" t="s">
        <v>671</v>
      </c>
    </row>
    <row r="222" spans="1:3" ht="12" customHeight="1" x14ac:dyDescent="0.3">
      <c r="A222" s="141"/>
      <c r="B222" s="10"/>
      <c r="C222" s="4"/>
    </row>
    <row r="223" spans="1:3" ht="22.5" x14ac:dyDescent="0.3">
      <c r="A223" s="18" t="s">
        <v>685</v>
      </c>
      <c r="B223" s="20" t="str">
        <f>B16</f>
        <v>타겟바닥</v>
      </c>
      <c r="C223" s="5" t="s">
        <v>690</v>
      </c>
    </row>
    <row r="224" spans="1:3" x14ac:dyDescent="0.3">
      <c r="A224" s="135" t="s">
        <v>686</v>
      </c>
      <c r="B224" s="20" t="str">
        <f>B17</f>
        <v>타겟중심</v>
      </c>
      <c r="C224" s="5" t="s">
        <v>687</v>
      </c>
    </row>
    <row r="225" spans="1:3" x14ac:dyDescent="0.3">
      <c r="A225" s="135"/>
      <c r="B225" s="20" t="str">
        <f>B18</f>
        <v>타겟머리</v>
      </c>
      <c r="C225" s="5" t="s">
        <v>688</v>
      </c>
    </row>
    <row r="226" spans="1:3" x14ac:dyDescent="0.3">
      <c r="A226" s="135"/>
      <c r="B226" s="20" t="s">
        <v>689</v>
      </c>
      <c r="C226" s="5" t="s">
        <v>693</v>
      </c>
    </row>
    <row r="227" spans="1:3" x14ac:dyDescent="0.3">
      <c r="A227" s="135"/>
      <c r="B227" s="20" t="s">
        <v>691</v>
      </c>
      <c r="C227" s="5" t="s">
        <v>692</v>
      </c>
    </row>
    <row r="228" spans="1:3" x14ac:dyDescent="0.3">
      <c r="A228" s="135"/>
      <c r="B228" s="20" t="str">
        <f t="shared" ref="B228:C228" si="17">B19</f>
        <v>액션이벤트</v>
      </c>
      <c r="C228" s="5" t="str">
        <f t="shared" si="17"/>
        <v>스킬모션의 액션이벤트에 지정한 위치에에 생성된다.</v>
      </c>
    </row>
    <row r="229" spans="1:3" x14ac:dyDescent="0.3">
      <c r="A229" s="135"/>
      <c r="B229" s="20" t="str">
        <f t="shared" ref="B229:C229" si="18">B20</f>
        <v>윈도우중앙하단</v>
      </c>
      <c r="C229" s="5" t="str">
        <f t="shared" si="18"/>
        <v>게임윈도우의 중앙하단을 기준좌표로 생성된다.</v>
      </c>
    </row>
    <row r="230" spans="1:3" x14ac:dyDescent="0.3">
      <c r="A230" s="136"/>
      <c r="B230" s="20"/>
      <c r="C230" s="5"/>
    </row>
    <row r="231" spans="1:3" ht="12" x14ac:dyDescent="0.3">
      <c r="A231" s="18" t="s">
        <v>100</v>
      </c>
      <c r="B231" s="31" t="s">
        <v>104</v>
      </c>
      <c r="C231" s="80" t="s">
        <v>81</v>
      </c>
    </row>
    <row r="232" spans="1:3" ht="11.25" customHeight="1" x14ac:dyDescent="0.3">
      <c r="A232" s="135" t="s">
        <v>80</v>
      </c>
      <c r="B232" s="31" t="s">
        <v>76</v>
      </c>
      <c r="C232" s="80" t="s">
        <v>82</v>
      </c>
    </row>
    <row r="233" spans="1:3" ht="22.5" x14ac:dyDescent="0.3">
      <c r="A233" s="135"/>
      <c r="B233" s="31" t="s">
        <v>70</v>
      </c>
      <c r="C233" s="80" t="s">
        <v>83</v>
      </c>
    </row>
    <row r="234" spans="1:3" ht="22.5" x14ac:dyDescent="0.3">
      <c r="A234" s="135"/>
      <c r="B234" s="31" t="s">
        <v>513</v>
      </c>
      <c r="C234" s="80" t="s">
        <v>84</v>
      </c>
    </row>
    <row r="235" spans="1:3" ht="22.5" x14ac:dyDescent="0.3">
      <c r="A235" s="135"/>
      <c r="B235" s="31" t="s">
        <v>71</v>
      </c>
      <c r="C235" s="80" t="s">
        <v>85</v>
      </c>
    </row>
    <row r="236" spans="1:3" ht="22.5" x14ac:dyDescent="0.3">
      <c r="A236" s="135"/>
      <c r="B236" s="31" t="s">
        <v>72</v>
      </c>
      <c r="C236" s="80" t="s">
        <v>86</v>
      </c>
    </row>
    <row r="237" spans="1:3" x14ac:dyDescent="0.3">
      <c r="A237" s="135"/>
      <c r="B237" s="20" t="s">
        <v>73</v>
      </c>
      <c r="C237" s="4" t="s">
        <v>87</v>
      </c>
    </row>
    <row r="238" spans="1:3" x14ac:dyDescent="0.3">
      <c r="A238" s="135"/>
      <c r="B238" s="20" t="s">
        <v>600</v>
      </c>
      <c r="C238" s="4" t="s">
        <v>601</v>
      </c>
    </row>
    <row r="239" spans="1:3" ht="33.75" x14ac:dyDescent="0.3">
      <c r="A239" s="135"/>
      <c r="B239" s="31" t="s">
        <v>74</v>
      </c>
      <c r="C239" s="80" t="s">
        <v>88</v>
      </c>
    </row>
    <row r="240" spans="1:3" x14ac:dyDescent="0.3">
      <c r="A240" s="135"/>
      <c r="B240" s="31" t="s">
        <v>75</v>
      </c>
      <c r="C240" s="80" t="s">
        <v>89</v>
      </c>
    </row>
    <row r="241" spans="1:3" x14ac:dyDescent="0.3">
      <c r="A241" s="135"/>
      <c r="B241" s="31" t="s">
        <v>77</v>
      </c>
      <c r="C241" s="80" t="s">
        <v>59</v>
      </c>
    </row>
    <row r="242" spans="1:3" x14ac:dyDescent="0.3">
      <c r="A242" s="135"/>
      <c r="B242" s="31" t="s">
        <v>157</v>
      </c>
      <c r="C242" s="80" t="s">
        <v>158</v>
      </c>
    </row>
    <row r="243" spans="1:3" x14ac:dyDescent="0.3">
      <c r="A243" s="135"/>
      <c r="B243" s="31" t="s">
        <v>78</v>
      </c>
      <c r="C243" s="80" t="s">
        <v>90</v>
      </c>
    </row>
    <row r="244" spans="1:3" x14ac:dyDescent="0.3">
      <c r="A244" s="135"/>
      <c r="B244" s="31" t="s">
        <v>79</v>
      </c>
      <c r="C244" s="80" t="s">
        <v>59</v>
      </c>
    </row>
    <row r="245" spans="1:3" x14ac:dyDescent="0.3">
      <c r="A245" s="136"/>
      <c r="B245" s="87"/>
      <c r="C245" s="80"/>
    </row>
    <row r="246" spans="1:3" x14ac:dyDescent="0.3">
      <c r="A246" s="133" t="s">
        <v>516</v>
      </c>
      <c r="B246" s="10" t="s">
        <v>517</v>
      </c>
      <c r="C246" s="4"/>
    </row>
    <row r="247" spans="1:3" ht="12" x14ac:dyDescent="0.3">
      <c r="A247" s="134"/>
      <c r="B247" s="11"/>
      <c r="C247" s="4"/>
    </row>
    <row r="248" spans="1:3" ht="12" x14ac:dyDescent="0.3">
      <c r="A248" s="91" t="s">
        <v>537</v>
      </c>
      <c r="B248" s="90"/>
      <c r="C248" s="78" t="s">
        <v>541</v>
      </c>
    </row>
    <row r="249" spans="1:3" ht="12" x14ac:dyDescent="0.3">
      <c r="A249" s="91" t="s">
        <v>538</v>
      </c>
      <c r="B249" s="90"/>
      <c r="C249" s="78"/>
    </row>
    <row r="250" spans="1:3" ht="12" x14ac:dyDescent="0.3">
      <c r="A250" s="91" t="s">
        <v>539</v>
      </c>
      <c r="B250" s="90"/>
      <c r="C250" s="78"/>
    </row>
    <row r="251" spans="1:3" ht="12" x14ac:dyDescent="0.3">
      <c r="A251" s="91" t="s">
        <v>540</v>
      </c>
      <c r="B251" s="90"/>
      <c r="C251" s="78"/>
    </row>
    <row r="252" spans="1:3" ht="12" x14ac:dyDescent="0.3">
      <c r="A252" s="92" t="s">
        <v>534</v>
      </c>
      <c r="B252" s="95" t="s">
        <v>518</v>
      </c>
      <c r="C252" s="78"/>
    </row>
    <row r="253" spans="1:3" x14ac:dyDescent="0.3">
      <c r="A253" s="93"/>
      <c r="B253" s="27" t="s">
        <v>519</v>
      </c>
      <c r="C253" s="4"/>
    </row>
    <row r="254" spans="1:3" x14ac:dyDescent="0.3">
      <c r="A254" s="93"/>
      <c r="B254" s="27" t="s">
        <v>520</v>
      </c>
      <c r="C254" s="4"/>
    </row>
    <row r="255" spans="1:3" x14ac:dyDescent="0.3">
      <c r="A255" s="93"/>
      <c r="B255" s="27" t="s">
        <v>521</v>
      </c>
      <c r="C255" s="4"/>
    </row>
    <row r="256" spans="1:3" x14ac:dyDescent="0.3">
      <c r="A256" s="93"/>
      <c r="B256" s="27" t="s">
        <v>522</v>
      </c>
      <c r="C256" s="4"/>
    </row>
    <row r="257" spans="1:3" x14ac:dyDescent="0.3">
      <c r="A257" s="93"/>
      <c r="B257" s="27" t="s">
        <v>523</v>
      </c>
      <c r="C257" s="4"/>
    </row>
    <row r="258" spans="1:3" x14ac:dyDescent="0.3">
      <c r="A258" s="93"/>
      <c r="B258" s="27" t="s">
        <v>524</v>
      </c>
      <c r="C258" s="4"/>
    </row>
    <row r="259" spans="1:3" x14ac:dyDescent="0.3">
      <c r="A259" s="93"/>
      <c r="B259" s="27" t="s">
        <v>525</v>
      </c>
      <c r="C259" s="4"/>
    </row>
    <row r="260" spans="1:3" x14ac:dyDescent="0.3">
      <c r="A260" s="93"/>
      <c r="B260" s="27" t="s">
        <v>526</v>
      </c>
      <c r="C260" s="4"/>
    </row>
    <row r="261" spans="1:3" ht="12" x14ac:dyDescent="0.3">
      <c r="A261" s="92" t="s">
        <v>605</v>
      </c>
      <c r="B261" s="95" t="s">
        <v>606</v>
      </c>
      <c r="C261" s="78"/>
    </row>
    <row r="262" spans="1:3" x14ac:dyDescent="0.3">
      <c r="A262" s="93"/>
      <c r="B262" s="27" t="s">
        <v>607</v>
      </c>
      <c r="C262" s="4"/>
    </row>
    <row r="263" spans="1:3" x14ac:dyDescent="0.3">
      <c r="A263" s="93"/>
      <c r="B263" s="27" t="s">
        <v>608</v>
      </c>
      <c r="C263" s="4"/>
    </row>
    <row r="264" spans="1:3" ht="12" x14ac:dyDescent="0.3">
      <c r="A264" s="92" t="s">
        <v>535</v>
      </c>
      <c r="B264" s="95" t="s">
        <v>527</v>
      </c>
      <c r="C264" s="78" t="s">
        <v>532</v>
      </c>
    </row>
    <row r="265" spans="1:3" x14ac:dyDescent="0.3">
      <c r="A265" s="93"/>
      <c r="B265" s="27" t="s">
        <v>528</v>
      </c>
      <c r="C265" s="4"/>
    </row>
    <row r="266" spans="1:3" x14ac:dyDescent="0.3">
      <c r="A266" s="93"/>
      <c r="B266" s="27" t="s">
        <v>529</v>
      </c>
      <c r="C266" s="4" t="s">
        <v>533</v>
      </c>
    </row>
    <row r="267" spans="1:3" x14ac:dyDescent="0.3">
      <c r="A267" s="93"/>
      <c r="B267" s="27" t="s">
        <v>530</v>
      </c>
      <c r="C267" s="4" t="s">
        <v>531</v>
      </c>
    </row>
    <row r="268" spans="1:3" x14ac:dyDescent="0.3">
      <c r="A268" s="93"/>
      <c r="B268" s="27"/>
      <c r="C268" s="4"/>
    </row>
    <row r="269" spans="1:3" hidden="1" x14ac:dyDescent="0.3">
      <c r="A269" s="93"/>
      <c r="B269" s="27"/>
      <c r="C269" s="4"/>
    </row>
    <row r="270" spans="1:3" hidden="1" x14ac:dyDescent="0.3">
      <c r="A270" s="93"/>
      <c r="B270" s="27"/>
      <c r="C270" s="4"/>
    </row>
    <row r="271" spans="1:3" hidden="1" x14ac:dyDescent="0.3">
      <c r="A271" s="93"/>
      <c r="B271" s="27"/>
      <c r="C271" s="4"/>
    </row>
    <row r="272" spans="1:3" hidden="1" x14ac:dyDescent="0.3">
      <c r="A272" s="93"/>
      <c r="B272" s="27"/>
      <c r="C272" s="4"/>
    </row>
    <row r="273" spans="1:3" hidden="1" x14ac:dyDescent="0.3">
      <c r="A273" s="93"/>
      <c r="B273" s="27"/>
      <c r="C273" s="4"/>
    </row>
    <row r="274" spans="1:3" hidden="1" x14ac:dyDescent="0.3">
      <c r="A274" s="93"/>
      <c r="B274" s="27"/>
      <c r="C274" s="4"/>
    </row>
    <row r="275" spans="1:3" hidden="1" x14ac:dyDescent="0.3">
      <c r="A275" s="93"/>
      <c r="B275" s="27"/>
      <c r="C275" s="4"/>
    </row>
    <row r="276" spans="1:3" hidden="1" x14ac:dyDescent="0.3">
      <c r="A276" s="93"/>
      <c r="B276" s="27"/>
      <c r="C276" s="4"/>
    </row>
    <row r="277" spans="1:3" hidden="1" x14ac:dyDescent="0.3">
      <c r="A277" s="93"/>
      <c r="B277" s="27"/>
      <c r="C277" s="4"/>
    </row>
    <row r="278" spans="1:3" hidden="1" x14ac:dyDescent="0.3">
      <c r="A278" s="93"/>
      <c r="B278" s="27"/>
      <c r="C278" s="4"/>
    </row>
    <row r="279" spans="1:3" hidden="1" x14ac:dyDescent="0.3">
      <c r="A279" s="93"/>
      <c r="B279" s="27"/>
      <c r="C279" s="4"/>
    </row>
    <row r="280" spans="1:3" hidden="1" x14ac:dyDescent="0.3">
      <c r="A280" s="93"/>
      <c r="B280" s="27"/>
      <c r="C280" s="4"/>
    </row>
    <row r="281" spans="1:3" hidden="1" x14ac:dyDescent="0.3">
      <c r="A281" s="93"/>
      <c r="B281" s="27"/>
      <c r="C281" s="4"/>
    </row>
    <row r="282" spans="1:3" hidden="1" x14ac:dyDescent="0.3">
      <c r="A282" s="93"/>
      <c r="B282" s="27"/>
      <c r="C282" s="4"/>
    </row>
    <row r="283" spans="1:3" hidden="1" x14ac:dyDescent="0.3">
      <c r="A283" s="93"/>
      <c r="B283" s="27"/>
      <c r="C283" s="4"/>
    </row>
    <row r="284" spans="1:3" hidden="1" x14ac:dyDescent="0.3">
      <c r="A284" s="93"/>
      <c r="B284" s="27"/>
      <c r="C284" s="4"/>
    </row>
    <row r="285" spans="1:3" hidden="1" x14ac:dyDescent="0.3">
      <c r="A285" s="93"/>
      <c r="B285" s="27"/>
      <c r="C285" s="4"/>
    </row>
    <row r="286" spans="1:3" hidden="1" x14ac:dyDescent="0.3">
      <c r="A286" s="93"/>
      <c r="B286" s="27"/>
      <c r="C286" s="4"/>
    </row>
    <row r="287" spans="1:3" hidden="1" x14ac:dyDescent="0.3">
      <c r="A287" s="93"/>
      <c r="B287" s="27"/>
      <c r="C287" s="4"/>
    </row>
    <row r="288" spans="1:3" hidden="1" x14ac:dyDescent="0.3">
      <c r="A288" s="93"/>
      <c r="B288" s="27"/>
      <c r="C288" s="4"/>
    </row>
    <row r="289" spans="1:3" hidden="1" x14ac:dyDescent="0.3">
      <c r="A289" s="93"/>
      <c r="B289" s="27"/>
      <c r="C289" s="4"/>
    </row>
    <row r="290" spans="1:3" hidden="1" x14ac:dyDescent="0.3">
      <c r="A290" s="93"/>
      <c r="B290" s="27"/>
      <c r="C290" s="4"/>
    </row>
    <row r="291" spans="1:3" hidden="1" x14ac:dyDescent="0.3">
      <c r="A291" s="93"/>
      <c r="B291" s="27"/>
      <c r="C291" s="4"/>
    </row>
    <row r="292" spans="1:3" hidden="1" x14ac:dyDescent="0.3">
      <c r="A292" s="93"/>
      <c r="B292" s="27"/>
      <c r="C292" s="4"/>
    </row>
    <row r="293" spans="1:3" hidden="1" x14ac:dyDescent="0.3">
      <c r="A293" s="93"/>
      <c r="B293" s="27"/>
      <c r="C293" s="4"/>
    </row>
    <row r="294" spans="1:3" hidden="1" x14ac:dyDescent="0.3">
      <c r="A294" s="93"/>
      <c r="B294" s="27"/>
      <c r="C294" s="4"/>
    </row>
    <row r="295" spans="1:3" hidden="1" x14ac:dyDescent="0.3">
      <c r="A295" s="93"/>
      <c r="B295" s="27"/>
      <c r="C295" s="4"/>
    </row>
    <row r="296" spans="1:3" hidden="1" x14ac:dyDescent="0.3">
      <c r="A296" s="93"/>
      <c r="B296" s="27"/>
      <c r="C296" s="4"/>
    </row>
    <row r="297" spans="1:3" hidden="1" x14ac:dyDescent="0.3">
      <c r="A297" s="93"/>
      <c r="B297" s="27"/>
      <c r="C297" s="4"/>
    </row>
    <row r="298" spans="1:3" hidden="1" x14ac:dyDescent="0.3">
      <c r="A298" s="93"/>
      <c r="B298" s="27"/>
      <c r="C298" s="4"/>
    </row>
    <row r="299" spans="1:3" hidden="1" x14ac:dyDescent="0.3">
      <c r="A299" s="93"/>
      <c r="B299" s="27"/>
      <c r="C299" s="4"/>
    </row>
    <row r="300" spans="1:3" hidden="1" x14ac:dyDescent="0.3">
      <c r="A300" s="93"/>
      <c r="B300" s="27"/>
      <c r="C300" s="4"/>
    </row>
    <row r="301" spans="1:3" hidden="1" x14ac:dyDescent="0.3">
      <c r="A301" s="93"/>
      <c r="B301" s="27"/>
      <c r="C301" s="4"/>
    </row>
    <row r="302" spans="1:3" hidden="1" x14ac:dyDescent="0.3">
      <c r="A302" s="93"/>
      <c r="B302" s="27"/>
      <c r="C302" s="4"/>
    </row>
    <row r="303" spans="1:3" hidden="1" x14ac:dyDescent="0.3">
      <c r="A303" s="93"/>
      <c r="B303" s="27"/>
      <c r="C303" s="4"/>
    </row>
    <row r="304" spans="1:3" hidden="1" x14ac:dyDescent="0.3">
      <c r="A304" s="93"/>
      <c r="B304" s="27"/>
      <c r="C304" s="4"/>
    </row>
    <row r="305" spans="1:3" hidden="1" x14ac:dyDescent="0.3">
      <c r="A305" s="93"/>
      <c r="B305" s="27"/>
      <c r="C305" s="4"/>
    </row>
    <row r="306" spans="1:3" hidden="1" x14ac:dyDescent="0.3">
      <c r="A306" s="93"/>
      <c r="B306" s="27"/>
      <c r="C306" s="4"/>
    </row>
    <row r="307" spans="1:3" hidden="1" x14ac:dyDescent="0.3">
      <c r="A307" s="93"/>
      <c r="B307" s="27"/>
      <c r="C307" s="4"/>
    </row>
    <row r="308" spans="1:3" hidden="1" x14ac:dyDescent="0.3">
      <c r="A308" s="93"/>
      <c r="B308" s="27"/>
      <c r="C308" s="4"/>
    </row>
    <row r="309" spans="1:3" hidden="1" x14ac:dyDescent="0.3">
      <c r="A309" s="93"/>
      <c r="B309" s="27"/>
      <c r="C309" s="4"/>
    </row>
    <row r="310" spans="1:3" hidden="1" x14ac:dyDescent="0.3">
      <c r="A310" s="93"/>
      <c r="B310" s="27"/>
      <c r="C310" s="4"/>
    </row>
    <row r="311" spans="1:3" hidden="1" x14ac:dyDescent="0.3">
      <c r="A311" s="93"/>
      <c r="B311" s="27"/>
      <c r="C311" s="4"/>
    </row>
    <row r="312" spans="1:3" hidden="1" x14ac:dyDescent="0.3">
      <c r="A312" s="93"/>
      <c r="B312" s="27"/>
      <c r="C312" s="4"/>
    </row>
    <row r="313" spans="1:3" hidden="1" x14ac:dyDescent="0.3">
      <c r="A313" s="93"/>
      <c r="B313" s="27"/>
      <c r="C313" s="4"/>
    </row>
    <row r="314" spans="1:3" hidden="1" x14ac:dyDescent="0.3">
      <c r="A314" s="93"/>
      <c r="B314" s="27"/>
      <c r="C314" s="4"/>
    </row>
    <row r="315" spans="1:3" hidden="1" x14ac:dyDescent="0.3">
      <c r="A315" s="93"/>
      <c r="B315" s="27"/>
      <c r="C315" s="4"/>
    </row>
    <row r="316" spans="1:3" hidden="1" x14ac:dyDescent="0.3">
      <c r="A316" s="93"/>
      <c r="B316" s="27"/>
      <c r="C316" s="4"/>
    </row>
    <row r="317" spans="1:3" hidden="1" x14ac:dyDescent="0.3">
      <c r="A317" s="93"/>
      <c r="B317" s="27"/>
      <c r="C317" s="4"/>
    </row>
    <row r="318" spans="1:3" hidden="1" x14ac:dyDescent="0.3">
      <c r="A318" s="93"/>
      <c r="B318" s="27"/>
      <c r="C318" s="4"/>
    </row>
    <row r="319" spans="1:3" hidden="1" x14ac:dyDescent="0.3">
      <c r="A319" s="93"/>
      <c r="B319" s="27"/>
      <c r="C319" s="4"/>
    </row>
    <row r="320" spans="1:3" hidden="1" x14ac:dyDescent="0.3">
      <c r="A320" s="93"/>
      <c r="B320" s="27"/>
      <c r="C320" s="4"/>
    </row>
    <row r="321" spans="1:3" hidden="1" x14ac:dyDescent="0.3">
      <c r="A321" s="93"/>
      <c r="B321" s="27"/>
      <c r="C321" s="4"/>
    </row>
    <row r="322" spans="1:3" ht="12" thickBot="1" x14ac:dyDescent="0.35">
      <c r="A322" s="94"/>
      <c r="B322" s="8"/>
      <c r="C322" s="6"/>
    </row>
    <row r="323" spans="1:3" ht="12" thickTop="1" x14ac:dyDescent="0.3"/>
  </sheetData>
  <mergeCells count="49">
    <mergeCell ref="A17:A21"/>
    <mergeCell ref="A147:A151"/>
    <mergeCell ref="A91:A98"/>
    <mergeCell ref="D109:E112"/>
    <mergeCell ref="A6:A7"/>
    <mergeCell ref="A106:A122"/>
    <mergeCell ref="A23:A26"/>
    <mergeCell ref="B23:B24"/>
    <mergeCell ref="A65:A68"/>
    <mergeCell ref="A100:A101"/>
    <mergeCell ref="A78:A79"/>
    <mergeCell ref="A72:A74"/>
    <mergeCell ref="A70:A71"/>
    <mergeCell ref="A81:A85"/>
    <mergeCell ref="A37:A38"/>
    <mergeCell ref="A40:A44"/>
    <mergeCell ref="B34:B35"/>
    <mergeCell ref="B13:B14"/>
    <mergeCell ref="C34:C35"/>
    <mergeCell ref="C23:C24"/>
    <mergeCell ref="A246:A247"/>
    <mergeCell ref="A232:A245"/>
    <mergeCell ref="A164:A197"/>
    <mergeCell ref="A202:A216"/>
    <mergeCell ref="A139:A143"/>
    <mergeCell ref="A154:A159"/>
    <mergeCell ref="A58:A62"/>
    <mergeCell ref="C217:C218"/>
    <mergeCell ref="B217:B218"/>
    <mergeCell ref="A49:A53"/>
    <mergeCell ref="A127:A135"/>
    <mergeCell ref="A221:A222"/>
    <mergeCell ref="A224:A230"/>
    <mergeCell ref="A28:A29"/>
    <mergeCell ref="C13:C14"/>
    <mergeCell ref="B201:B205"/>
    <mergeCell ref="B206:B210"/>
    <mergeCell ref="B211:B216"/>
    <mergeCell ref="C201:C205"/>
    <mergeCell ref="C154:C159"/>
    <mergeCell ref="C103:C104"/>
    <mergeCell ref="B45:B46"/>
    <mergeCell ref="C45:C46"/>
    <mergeCell ref="B54:B55"/>
    <mergeCell ref="C54:C55"/>
    <mergeCell ref="C206:C210"/>
    <mergeCell ref="C211:C216"/>
    <mergeCell ref="B72:B74"/>
    <mergeCell ref="C72:C74"/>
  </mergeCells>
  <phoneticPr fontId="1" type="noConversion"/>
  <pageMargins left="0.25" right="0.25" top="0.75" bottom="0.75" header="0.3" footer="0.3"/>
  <pageSetup paperSize="9" orientation="landscape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236"/>
  <sheetViews>
    <sheetView workbookViewId="0">
      <pane xSplit="1" ySplit="3" topLeftCell="B10" activePane="bottomRight" state="frozen"/>
      <selection pane="topRight" activeCell="B1" sqref="B1"/>
      <selection pane="bottomLeft" activeCell="A5" sqref="A5"/>
      <selection pane="bottomRight" activeCell="E30" sqref="E30"/>
    </sheetView>
  </sheetViews>
  <sheetFormatPr defaultRowHeight="11.25" x14ac:dyDescent="0.3"/>
  <cols>
    <col min="1" max="1" width="10.25" style="33" bestFit="1" customWidth="1"/>
    <col min="2" max="3" width="21.875" style="33" customWidth="1"/>
    <col min="4" max="5" width="23.875" style="33" customWidth="1"/>
    <col min="6" max="7" width="22.25" style="33" customWidth="1"/>
    <col min="8" max="8" width="26.625" style="33" bestFit="1" customWidth="1"/>
    <col min="9" max="16384" width="9" style="33"/>
  </cols>
  <sheetData>
    <row r="1" spans="1:8" ht="17.25" customHeight="1" thickBot="1" x14ac:dyDescent="0.35">
      <c r="B1" s="156" t="s">
        <v>159</v>
      </c>
      <c r="C1" s="157"/>
      <c r="D1" s="158" t="s">
        <v>160</v>
      </c>
      <c r="E1" s="159"/>
      <c r="F1" s="158" t="s">
        <v>161</v>
      </c>
      <c r="G1" s="159"/>
      <c r="H1" s="34" t="s">
        <v>162</v>
      </c>
    </row>
    <row r="2" spans="1:8" ht="17.25" customHeight="1" thickBot="1" x14ac:dyDescent="0.35">
      <c r="B2" s="35" t="s">
        <v>163</v>
      </c>
      <c r="C2" s="36" t="s">
        <v>44</v>
      </c>
      <c r="D2" s="35" t="s">
        <v>163</v>
      </c>
      <c r="E2" s="36" t="s">
        <v>164</v>
      </c>
      <c r="F2" s="37" t="s">
        <v>361</v>
      </c>
      <c r="G2" s="38" t="s">
        <v>362</v>
      </c>
      <c r="H2" s="38"/>
    </row>
    <row r="3" spans="1:8" ht="45.75" thickBot="1" x14ac:dyDescent="0.35">
      <c r="A3" s="33" t="s">
        <v>165</v>
      </c>
      <c r="B3" s="39" t="s">
        <v>166</v>
      </c>
      <c r="C3" s="38"/>
      <c r="D3" s="38" t="s">
        <v>167</v>
      </c>
      <c r="E3" s="38" t="s">
        <v>168</v>
      </c>
      <c r="F3" s="40" t="s">
        <v>169</v>
      </c>
      <c r="G3" s="38" t="s">
        <v>363</v>
      </c>
      <c r="H3" s="38" t="s">
        <v>170</v>
      </c>
    </row>
    <row r="4" spans="1:8" x14ac:dyDescent="0.3">
      <c r="A4" s="33" t="s">
        <v>171</v>
      </c>
      <c r="B4" s="41" t="s">
        <v>172</v>
      </c>
      <c r="C4" s="52" t="s">
        <v>262</v>
      </c>
      <c r="D4" s="41" t="s">
        <v>173</v>
      </c>
      <c r="E4" s="52" t="s">
        <v>259</v>
      </c>
      <c r="F4" s="72" t="s">
        <v>213</v>
      </c>
      <c r="G4" s="41" t="s">
        <v>174</v>
      </c>
      <c r="H4" s="41" t="s">
        <v>175</v>
      </c>
    </row>
    <row r="5" spans="1:8" x14ac:dyDescent="0.3">
      <c r="B5" s="42" t="s">
        <v>264</v>
      </c>
      <c r="C5" s="50" t="s">
        <v>263</v>
      </c>
      <c r="D5" s="42" t="s">
        <v>263</v>
      </c>
      <c r="E5" s="50" t="s">
        <v>263</v>
      </c>
      <c r="F5" s="51" t="s">
        <v>446</v>
      </c>
      <c r="G5" s="42" t="s">
        <v>430</v>
      </c>
      <c r="H5" s="42" t="s">
        <v>466</v>
      </c>
    </row>
    <row r="6" spans="1:8" x14ac:dyDescent="0.3">
      <c r="B6" s="33" t="s">
        <v>217</v>
      </c>
      <c r="C6" s="50" t="s">
        <v>252</v>
      </c>
      <c r="D6" s="50" t="s">
        <v>217</v>
      </c>
      <c r="E6" s="50" t="s">
        <v>217</v>
      </c>
      <c r="F6" s="60" t="s">
        <v>216</v>
      </c>
      <c r="G6" s="33" t="s">
        <v>410</v>
      </c>
      <c r="H6" s="33" t="s">
        <v>293</v>
      </c>
    </row>
    <row r="7" spans="1:8" x14ac:dyDescent="0.3">
      <c r="B7" s="33" t="s">
        <v>329</v>
      </c>
      <c r="C7" s="33" t="s">
        <v>329</v>
      </c>
      <c r="D7" s="60" t="s">
        <v>333</v>
      </c>
      <c r="E7" s="49" t="s">
        <v>258</v>
      </c>
      <c r="F7" s="60"/>
      <c r="G7" s="33" t="s">
        <v>366</v>
      </c>
      <c r="H7" s="33" t="s">
        <v>467</v>
      </c>
    </row>
    <row r="8" spans="1:8" x14ac:dyDescent="0.3">
      <c r="B8" s="66" t="s">
        <v>302</v>
      </c>
      <c r="C8" s="66" t="s">
        <v>297</v>
      </c>
      <c r="D8" s="33" t="s">
        <v>258</v>
      </c>
      <c r="E8" s="60" t="s">
        <v>333</v>
      </c>
      <c r="F8" s="60" t="s">
        <v>202</v>
      </c>
      <c r="G8" s="33" t="s">
        <v>335</v>
      </c>
      <c r="H8" s="33" t="s">
        <v>468</v>
      </c>
    </row>
    <row r="9" spans="1:8" x14ac:dyDescent="0.3">
      <c r="B9" s="33" t="s">
        <v>277</v>
      </c>
      <c r="C9" s="33" t="s">
        <v>277</v>
      </c>
      <c r="D9" s="66" t="s">
        <v>336</v>
      </c>
      <c r="E9" s="66" t="s">
        <v>336</v>
      </c>
      <c r="F9" s="50" t="s">
        <v>290</v>
      </c>
      <c r="G9" s="33" t="s">
        <v>357</v>
      </c>
      <c r="H9" s="33" t="s">
        <v>472</v>
      </c>
    </row>
    <row r="10" spans="1:8" x14ac:dyDescent="0.3">
      <c r="B10" s="33" t="s">
        <v>364</v>
      </c>
      <c r="D10" s="60"/>
      <c r="E10" s="33" t="s">
        <v>277</v>
      </c>
      <c r="F10" s="50" t="s">
        <v>186</v>
      </c>
      <c r="G10" s="33" t="s">
        <v>423</v>
      </c>
      <c r="H10" s="33" t="s">
        <v>335</v>
      </c>
    </row>
    <row r="11" spans="1:8" x14ac:dyDescent="0.3">
      <c r="B11" s="33" t="s">
        <v>331</v>
      </c>
      <c r="C11" s="33" t="s">
        <v>331</v>
      </c>
      <c r="D11" s="33" t="s">
        <v>277</v>
      </c>
      <c r="E11" s="33" t="s">
        <v>338</v>
      </c>
      <c r="F11" s="50" t="s">
        <v>204</v>
      </c>
      <c r="G11" s="33" t="s">
        <v>376</v>
      </c>
      <c r="H11" s="33" t="s">
        <v>277</v>
      </c>
    </row>
    <row r="12" spans="1:8" x14ac:dyDescent="0.3">
      <c r="B12" s="33" t="s">
        <v>283</v>
      </c>
      <c r="C12" s="33" t="s">
        <v>283</v>
      </c>
      <c r="D12" s="33" t="s">
        <v>338</v>
      </c>
      <c r="E12" s="33" t="s">
        <v>283</v>
      </c>
      <c r="F12" s="50" t="s">
        <v>190</v>
      </c>
      <c r="G12" s="33" t="s">
        <v>424</v>
      </c>
      <c r="H12" s="33" t="s">
        <v>423</v>
      </c>
    </row>
    <row r="13" spans="1:8" x14ac:dyDescent="0.3">
      <c r="B13" s="33" t="s">
        <v>316</v>
      </c>
      <c r="C13" s="33" t="s">
        <v>320</v>
      </c>
      <c r="D13" s="33" t="s">
        <v>283</v>
      </c>
      <c r="E13" s="33" t="s">
        <v>309</v>
      </c>
      <c r="F13" s="51"/>
      <c r="G13" s="33" t="s">
        <v>425</v>
      </c>
      <c r="H13" s="33" t="s">
        <v>283</v>
      </c>
    </row>
    <row r="14" spans="1:8" x14ac:dyDescent="0.3">
      <c r="B14" s="33" t="s">
        <v>284</v>
      </c>
      <c r="C14" s="33" t="s">
        <v>284</v>
      </c>
      <c r="D14" s="33" t="s">
        <v>309</v>
      </c>
      <c r="E14" s="49" t="s">
        <v>187</v>
      </c>
      <c r="F14" s="51"/>
      <c r="G14" s="33" t="s">
        <v>426</v>
      </c>
      <c r="H14" s="33" t="s">
        <v>309</v>
      </c>
    </row>
    <row r="15" spans="1:8" x14ac:dyDescent="0.3">
      <c r="B15" s="33" t="s">
        <v>285</v>
      </c>
      <c r="C15" s="33" t="s">
        <v>285</v>
      </c>
      <c r="D15" s="33" t="s">
        <v>284</v>
      </c>
      <c r="E15" s="49" t="s">
        <v>190</v>
      </c>
      <c r="F15" s="47"/>
      <c r="G15" s="50" t="s">
        <v>178</v>
      </c>
      <c r="H15" s="33" t="s">
        <v>469</v>
      </c>
    </row>
    <row r="16" spans="1:8" x14ac:dyDescent="0.3">
      <c r="B16" s="50" t="s">
        <v>176</v>
      </c>
      <c r="C16" s="50" t="s">
        <v>176</v>
      </c>
      <c r="D16" s="33" t="s">
        <v>285</v>
      </c>
      <c r="E16" s="50" t="s">
        <v>178</v>
      </c>
      <c r="F16" s="42"/>
      <c r="G16" s="50" t="s">
        <v>427</v>
      </c>
      <c r="H16" s="33" t="s">
        <v>285</v>
      </c>
    </row>
    <row r="17" spans="2:8" x14ac:dyDescent="0.3">
      <c r="B17" s="42" t="s">
        <v>177</v>
      </c>
      <c r="C17" s="50" t="s">
        <v>253</v>
      </c>
      <c r="D17" s="42" t="s">
        <v>178</v>
      </c>
      <c r="E17" s="50" t="s">
        <v>180</v>
      </c>
      <c r="F17" s="42"/>
      <c r="G17" s="33" t="s">
        <v>388</v>
      </c>
      <c r="H17" s="50" t="s">
        <v>178</v>
      </c>
    </row>
    <row r="18" spans="2:8" x14ac:dyDescent="0.3">
      <c r="B18" s="42" t="s">
        <v>287</v>
      </c>
      <c r="C18" s="49" t="s">
        <v>288</v>
      </c>
      <c r="D18" s="42" t="s">
        <v>180</v>
      </c>
      <c r="E18" s="50" t="s">
        <v>396</v>
      </c>
      <c r="F18" s="42"/>
      <c r="G18" s="33" t="s">
        <v>428</v>
      </c>
      <c r="H18" s="50" t="s">
        <v>470</v>
      </c>
    </row>
    <row r="19" spans="2:8" x14ac:dyDescent="0.3">
      <c r="B19" s="42" t="s">
        <v>448</v>
      </c>
      <c r="C19" s="49"/>
      <c r="D19" s="42"/>
      <c r="E19" s="60"/>
      <c r="F19" s="42"/>
      <c r="H19" s="33" t="s">
        <v>471</v>
      </c>
    </row>
    <row r="20" spans="2:8" x14ac:dyDescent="0.3">
      <c r="B20" s="42" t="s">
        <v>286</v>
      </c>
      <c r="C20" s="33" t="s">
        <v>289</v>
      </c>
      <c r="D20" s="42" t="s">
        <v>179</v>
      </c>
      <c r="F20" s="42"/>
      <c r="G20" s="42" t="s">
        <v>429</v>
      </c>
      <c r="H20" s="33" t="s">
        <v>286</v>
      </c>
    </row>
    <row r="21" spans="2:8" ht="12" thickBot="1" x14ac:dyDescent="0.35">
      <c r="B21" s="42" t="s">
        <v>339</v>
      </c>
      <c r="C21" s="50" t="s">
        <v>339</v>
      </c>
      <c r="E21" s="50" t="s">
        <v>179</v>
      </c>
      <c r="F21" s="42"/>
      <c r="G21" s="42" t="s">
        <v>244</v>
      </c>
      <c r="H21" s="42" t="s">
        <v>429</v>
      </c>
    </row>
    <row r="22" spans="2:8" x14ac:dyDescent="0.3">
      <c r="B22" s="65" t="s">
        <v>298</v>
      </c>
      <c r="C22" s="53" t="s">
        <v>181</v>
      </c>
      <c r="D22" s="53" t="s">
        <v>254</v>
      </c>
      <c r="E22" s="54" t="s">
        <v>182</v>
      </c>
      <c r="F22" s="74" t="s">
        <v>214</v>
      </c>
      <c r="G22" s="53" t="s">
        <v>243</v>
      </c>
      <c r="H22" s="55" t="s">
        <v>249</v>
      </c>
    </row>
    <row r="23" spans="2:8" x14ac:dyDescent="0.3">
      <c r="B23" s="50" t="s">
        <v>183</v>
      </c>
      <c r="C23" s="42" t="s">
        <v>184</v>
      </c>
      <c r="D23" s="42" t="s">
        <v>263</v>
      </c>
      <c r="E23" s="56" t="s">
        <v>185</v>
      </c>
      <c r="F23" s="47" t="s">
        <v>215</v>
      </c>
      <c r="G23" s="42" t="s">
        <v>353</v>
      </c>
      <c r="H23" s="42"/>
    </row>
    <row r="24" spans="2:8" x14ac:dyDescent="0.3">
      <c r="B24" s="66" t="s">
        <v>293</v>
      </c>
      <c r="C24" s="33" t="s">
        <v>317</v>
      </c>
      <c r="D24" s="50" t="s">
        <v>217</v>
      </c>
      <c r="E24" s="50" t="s">
        <v>217</v>
      </c>
      <c r="F24" s="42" t="s">
        <v>263</v>
      </c>
      <c r="G24" s="33" t="s">
        <v>410</v>
      </c>
      <c r="H24" s="42"/>
    </row>
    <row r="25" spans="2:8" x14ac:dyDescent="0.3">
      <c r="B25" s="66" t="s">
        <v>330</v>
      </c>
      <c r="C25" s="33" t="s">
        <v>324</v>
      </c>
      <c r="D25" s="60" t="s">
        <v>333</v>
      </c>
      <c r="E25" s="49"/>
      <c r="F25" s="49" t="s">
        <v>217</v>
      </c>
      <c r="G25" s="33" t="s">
        <v>366</v>
      </c>
      <c r="H25" s="42"/>
    </row>
    <row r="26" spans="2:8" x14ac:dyDescent="0.3">
      <c r="B26" s="66" t="s">
        <v>297</v>
      </c>
      <c r="C26" s="42" t="s">
        <v>290</v>
      </c>
      <c r="D26" s="33" t="s">
        <v>258</v>
      </c>
      <c r="E26" s="60" t="s">
        <v>333</v>
      </c>
      <c r="F26" s="49" t="s">
        <v>202</v>
      </c>
      <c r="G26" s="33" t="s">
        <v>335</v>
      </c>
      <c r="H26" s="42"/>
    </row>
    <row r="27" spans="2:8" x14ac:dyDescent="0.3">
      <c r="B27" s="50" t="s">
        <v>295</v>
      </c>
      <c r="C27" s="33" t="s">
        <v>331</v>
      </c>
      <c r="D27" s="66" t="s">
        <v>336</v>
      </c>
      <c r="E27" s="66" t="s">
        <v>336</v>
      </c>
      <c r="F27" s="50" t="s">
        <v>290</v>
      </c>
      <c r="G27" s="33" t="s">
        <v>357</v>
      </c>
      <c r="H27" s="42"/>
    </row>
    <row r="28" spans="2:8" x14ac:dyDescent="0.3">
      <c r="B28" s="33" t="s">
        <v>331</v>
      </c>
      <c r="C28" s="33" t="s">
        <v>318</v>
      </c>
      <c r="D28" s="33" t="s">
        <v>277</v>
      </c>
      <c r="E28" s="33" t="s">
        <v>277</v>
      </c>
      <c r="F28" s="50" t="s">
        <v>186</v>
      </c>
      <c r="G28" s="33" t="s">
        <v>423</v>
      </c>
      <c r="H28" s="42"/>
    </row>
    <row r="29" spans="2:8" x14ac:dyDescent="0.3">
      <c r="B29" s="33" t="s">
        <v>283</v>
      </c>
      <c r="C29" s="42" t="s">
        <v>319</v>
      </c>
      <c r="D29" s="33" t="s">
        <v>338</v>
      </c>
      <c r="E29" s="56"/>
      <c r="F29" s="42" t="s">
        <v>204</v>
      </c>
      <c r="G29" s="33" t="s">
        <v>376</v>
      </c>
      <c r="H29" s="42"/>
    </row>
    <row r="30" spans="2:8" x14ac:dyDescent="0.3">
      <c r="B30" s="33" t="s">
        <v>309</v>
      </c>
      <c r="C30" s="56" t="s">
        <v>187</v>
      </c>
      <c r="D30" s="33" t="s">
        <v>283</v>
      </c>
      <c r="E30" s="56" t="s">
        <v>186</v>
      </c>
      <c r="F30" s="42" t="s">
        <v>190</v>
      </c>
      <c r="G30" s="33" t="s">
        <v>424</v>
      </c>
      <c r="H30" s="42"/>
    </row>
    <row r="31" spans="2:8" x14ac:dyDescent="0.3">
      <c r="B31" s="33" t="s">
        <v>284</v>
      </c>
      <c r="C31" s="56" t="s">
        <v>190</v>
      </c>
      <c r="D31" s="33" t="s">
        <v>309</v>
      </c>
      <c r="E31" s="56" t="s">
        <v>188</v>
      </c>
      <c r="G31" s="33" t="s">
        <v>425</v>
      </c>
      <c r="H31" s="42"/>
    </row>
    <row r="32" spans="2:8" x14ac:dyDescent="0.3">
      <c r="B32" s="33" t="s">
        <v>285</v>
      </c>
      <c r="C32" s="42" t="s">
        <v>193</v>
      </c>
      <c r="D32" s="33" t="s">
        <v>284</v>
      </c>
      <c r="E32" s="56" t="s">
        <v>191</v>
      </c>
      <c r="G32" s="33" t="s">
        <v>426</v>
      </c>
      <c r="H32" s="42"/>
    </row>
    <row r="33" spans="2:8" x14ac:dyDescent="0.3">
      <c r="B33" s="50" t="s">
        <v>176</v>
      </c>
      <c r="C33" s="42" t="s">
        <v>321</v>
      </c>
      <c r="D33" s="33" t="s">
        <v>285</v>
      </c>
      <c r="E33" s="56" t="s">
        <v>194</v>
      </c>
      <c r="F33" s="42"/>
      <c r="G33" s="50" t="s">
        <v>178</v>
      </c>
      <c r="H33" s="42"/>
    </row>
    <row r="34" spans="2:8" x14ac:dyDescent="0.3">
      <c r="B34" s="50" t="s">
        <v>189</v>
      </c>
      <c r="C34" s="33" t="s">
        <v>322</v>
      </c>
      <c r="D34" s="42"/>
      <c r="E34" s="56" t="s">
        <v>195</v>
      </c>
      <c r="F34" s="50"/>
      <c r="G34" s="50" t="s">
        <v>427</v>
      </c>
      <c r="H34" s="42"/>
    </row>
    <row r="35" spans="2:8" x14ac:dyDescent="0.3">
      <c r="B35" s="50" t="s">
        <v>287</v>
      </c>
      <c r="C35" s="42" t="s">
        <v>323</v>
      </c>
      <c r="D35" s="50" t="s">
        <v>176</v>
      </c>
      <c r="E35" s="56" t="s">
        <v>197</v>
      </c>
      <c r="G35" s="33" t="s">
        <v>388</v>
      </c>
      <c r="H35" s="42"/>
    </row>
    <row r="36" spans="2:8" x14ac:dyDescent="0.3">
      <c r="B36" s="42" t="s">
        <v>286</v>
      </c>
      <c r="C36" s="42" t="s">
        <v>339</v>
      </c>
      <c r="D36" s="50" t="s">
        <v>257</v>
      </c>
      <c r="E36" s="42"/>
      <c r="G36" s="33" t="s">
        <v>428</v>
      </c>
      <c r="H36" s="42"/>
    </row>
    <row r="37" spans="2:8" ht="12" thickBot="1" x14ac:dyDescent="0.35">
      <c r="B37" s="50" t="s">
        <v>192</v>
      </c>
      <c r="C37" s="57"/>
      <c r="D37" s="42" t="s">
        <v>196</v>
      </c>
      <c r="E37" s="58"/>
      <c r="F37" s="42"/>
      <c r="G37" s="42" t="s">
        <v>429</v>
      </c>
      <c r="H37" s="57"/>
    </row>
    <row r="38" spans="2:8" x14ac:dyDescent="0.3">
      <c r="B38" s="61" t="s">
        <v>198</v>
      </c>
      <c r="C38" s="45" t="s">
        <v>199</v>
      </c>
      <c r="D38" s="44" t="s">
        <v>255</v>
      </c>
      <c r="E38" s="43" t="s">
        <v>200</v>
      </c>
      <c r="F38" s="73" t="s">
        <v>212</v>
      </c>
      <c r="G38" s="44" t="s">
        <v>242</v>
      </c>
      <c r="H38" s="45" t="s">
        <v>250</v>
      </c>
    </row>
    <row r="39" spans="2:8" x14ac:dyDescent="0.3">
      <c r="B39" s="50" t="s">
        <v>310</v>
      </c>
      <c r="C39" s="42" t="s">
        <v>183</v>
      </c>
      <c r="D39" s="42" t="s">
        <v>263</v>
      </c>
      <c r="E39" s="42" t="s">
        <v>263</v>
      </c>
      <c r="F39" s="69" t="s">
        <v>353</v>
      </c>
      <c r="G39" s="33" t="s">
        <v>421</v>
      </c>
      <c r="H39" s="42" t="s">
        <v>240</v>
      </c>
    </row>
    <row r="40" spans="2:8" x14ac:dyDescent="0.3">
      <c r="B40" s="50" t="s">
        <v>311</v>
      </c>
      <c r="C40" s="66" t="s">
        <v>293</v>
      </c>
      <c r="D40" s="42" t="s">
        <v>256</v>
      </c>
      <c r="E40" s="50" t="s">
        <v>217</v>
      </c>
      <c r="F40" s="69" t="s">
        <v>354</v>
      </c>
      <c r="G40" s="33" t="s">
        <v>337</v>
      </c>
      <c r="H40" s="42" t="s">
        <v>241</v>
      </c>
    </row>
    <row r="41" spans="2:8" x14ac:dyDescent="0.3">
      <c r="B41" s="50" t="s">
        <v>312</v>
      </c>
      <c r="C41" s="50" t="s">
        <v>325</v>
      </c>
      <c r="D41" s="33" t="s">
        <v>258</v>
      </c>
      <c r="E41" s="42" t="s">
        <v>201</v>
      </c>
      <c r="F41" s="70" t="s">
        <v>355</v>
      </c>
      <c r="G41" s="33" t="s">
        <v>335</v>
      </c>
      <c r="H41" s="42" t="s">
        <v>244</v>
      </c>
    </row>
    <row r="42" spans="2:8" x14ac:dyDescent="0.3">
      <c r="B42" s="50" t="s">
        <v>295</v>
      </c>
      <c r="C42" s="42" t="s">
        <v>326</v>
      </c>
      <c r="D42" s="33" t="s">
        <v>261</v>
      </c>
      <c r="E42" s="60" t="s">
        <v>397</v>
      </c>
      <c r="F42" s="71" t="s">
        <v>356</v>
      </c>
      <c r="G42" s="33" t="s">
        <v>411</v>
      </c>
      <c r="H42" s="42" t="s">
        <v>245</v>
      </c>
    </row>
    <row r="43" spans="2:8" x14ac:dyDescent="0.3">
      <c r="B43" s="42" t="s">
        <v>331</v>
      </c>
      <c r="C43" s="42" t="s">
        <v>332</v>
      </c>
      <c r="D43" s="50" t="s">
        <v>176</v>
      </c>
      <c r="E43" s="66" t="s">
        <v>336</v>
      </c>
      <c r="F43" s="48" t="s">
        <v>357</v>
      </c>
      <c r="G43" s="33" t="s">
        <v>412</v>
      </c>
      <c r="H43" s="42" t="s">
        <v>246</v>
      </c>
    </row>
    <row r="44" spans="2:8" x14ac:dyDescent="0.3">
      <c r="B44" s="42" t="s">
        <v>296</v>
      </c>
      <c r="C44" s="42" t="s">
        <v>276</v>
      </c>
      <c r="D44" s="50" t="s">
        <v>257</v>
      </c>
      <c r="E44" s="33" t="s">
        <v>277</v>
      </c>
      <c r="F44" s="48" t="s">
        <v>338</v>
      </c>
      <c r="G44" s="33" t="s">
        <v>413</v>
      </c>
      <c r="H44" s="42" t="s">
        <v>247</v>
      </c>
    </row>
    <row r="45" spans="2:8" x14ac:dyDescent="0.3">
      <c r="B45" s="42" t="s">
        <v>309</v>
      </c>
      <c r="C45" s="42" t="s">
        <v>327</v>
      </c>
      <c r="D45" s="42" t="s">
        <v>196</v>
      </c>
      <c r="E45" s="33" t="s">
        <v>398</v>
      </c>
      <c r="F45" s="48" t="s">
        <v>283</v>
      </c>
      <c r="G45" s="33" t="s">
        <v>334</v>
      </c>
      <c r="H45" s="42" t="s">
        <v>248</v>
      </c>
    </row>
    <row r="46" spans="2:8" x14ac:dyDescent="0.3">
      <c r="B46" s="42" t="s">
        <v>284</v>
      </c>
      <c r="C46" s="42" t="s">
        <v>204</v>
      </c>
      <c r="E46" s="33" t="s">
        <v>399</v>
      </c>
      <c r="F46" s="48" t="s">
        <v>309</v>
      </c>
      <c r="G46" s="33" t="s">
        <v>414</v>
      </c>
      <c r="H46" s="42"/>
    </row>
    <row r="47" spans="2:8" x14ac:dyDescent="0.3">
      <c r="B47" s="42" t="s">
        <v>285</v>
      </c>
      <c r="C47" s="42" t="s">
        <v>206</v>
      </c>
      <c r="E47" s="33" t="s">
        <v>400</v>
      </c>
      <c r="F47" s="48" t="s">
        <v>358</v>
      </c>
      <c r="G47" s="33" t="s">
        <v>415</v>
      </c>
      <c r="H47" s="42"/>
    </row>
    <row r="48" spans="2:8" x14ac:dyDescent="0.3">
      <c r="B48" s="50" t="s">
        <v>176</v>
      </c>
      <c r="C48" s="42" t="s">
        <v>203</v>
      </c>
      <c r="E48" s="42" t="s">
        <v>203</v>
      </c>
      <c r="F48" s="48" t="s">
        <v>285</v>
      </c>
      <c r="G48" s="33" t="s">
        <v>416</v>
      </c>
      <c r="H48" s="42"/>
    </row>
    <row r="49" spans="2:9" x14ac:dyDescent="0.3">
      <c r="B49" s="50" t="s">
        <v>313</v>
      </c>
      <c r="C49" s="42" t="s">
        <v>207</v>
      </c>
      <c r="E49" s="42" t="s">
        <v>205</v>
      </c>
      <c r="F49" s="69" t="s">
        <v>178</v>
      </c>
      <c r="G49" s="33" t="s">
        <v>417</v>
      </c>
      <c r="H49" s="42"/>
    </row>
    <row r="50" spans="2:9" x14ac:dyDescent="0.3">
      <c r="B50" s="50" t="s">
        <v>292</v>
      </c>
      <c r="C50" s="42" t="s">
        <v>208</v>
      </c>
      <c r="E50" s="42" t="s">
        <v>265</v>
      </c>
      <c r="F50" s="69" t="s">
        <v>349</v>
      </c>
      <c r="G50" s="33" t="s">
        <v>418</v>
      </c>
      <c r="H50" s="42"/>
    </row>
    <row r="51" spans="2:9" x14ac:dyDescent="0.3">
      <c r="B51" s="42" t="s">
        <v>286</v>
      </c>
      <c r="C51" s="42" t="s">
        <v>209</v>
      </c>
      <c r="E51" s="42" t="s">
        <v>267</v>
      </c>
      <c r="F51" s="48" t="s">
        <v>352</v>
      </c>
      <c r="G51" s="33" t="s">
        <v>419</v>
      </c>
      <c r="H51" s="42"/>
    </row>
    <row r="52" spans="2:9" x14ac:dyDescent="0.3">
      <c r="B52" s="50" t="s">
        <v>192</v>
      </c>
      <c r="C52" s="42" t="s">
        <v>210</v>
      </c>
      <c r="E52" s="42" t="s">
        <v>266</v>
      </c>
      <c r="F52" s="69" t="s">
        <v>344</v>
      </c>
      <c r="G52" s="33" t="s">
        <v>420</v>
      </c>
      <c r="H52" s="42"/>
    </row>
    <row r="53" spans="2:9" ht="12" thickBot="1" x14ac:dyDescent="0.35">
      <c r="B53" s="57"/>
      <c r="C53" s="33" t="s">
        <v>202</v>
      </c>
      <c r="E53" s="42"/>
      <c r="F53" s="42"/>
      <c r="G53" s="42"/>
      <c r="H53" s="42"/>
    </row>
    <row r="54" spans="2:9" x14ac:dyDescent="0.3">
      <c r="B54" s="53" t="s">
        <v>211</v>
      </c>
      <c r="C54" s="53" t="s">
        <v>365</v>
      </c>
      <c r="D54" s="53" t="s">
        <v>346</v>
      </c>
      <c r="E54" s="53" t="s">
        <v>260</v>
      </c>
      <c r="F54" s="61"/>
      <c r="G54" s="61" t="s">
        <v>239</v>
      </c>
      <c r="H54" s="53" t="s">
        <v>251</v>
      </c>
      <c r="I54" s="44"/>
    </row>
    <row r="55" spans="2:9" x14ac:dyDescent="0.3">
      <c r="B55" s="42" t="s">
        <v>314</v>
      </c>
      <c r="C55" s="42" t="s">
        <v>183</v>
      </c>
      <c r="D55" s="42" t="s">
        <v>263</v>
      </c>
      <c r="E55" s="42" t="s">
        <v>263</v>
      </c>
      <c r="G55" s="33" t="s">
        <v>422</v>
      </c>
      <c r="H55" s="42"/>
    </row>
    <row r="56" spans="2:9" x14ac:dyDescent="0.3">
      <c r="B56" s="42"/>
      <c r="C56" s="66" t="s">
        <v>293</v>
      </c>
      <c r="D56" s="50" t="s">
        <v>217</v>
      </c>
      <c r="E56" s="50" t="s">
        <v>217</v>
      </c>
      <c r="F56" s="42"/>
      <c r="G56" s="42"/>
      <c r="H56" s="42"/>
    </row>
    <row r="57" spans="2:9" x14ac:dyDescent="0.3">
      <c r="B57" s="42"/>
      <c r="C57" s="66" t="s">
        <v>366</v>
      </c>
      <c r="D57" s="60"/>
      <c r="E57" s="42" t="s">
        <v>201</v>
      </c>
      <c r="F57" s="42"/>
      <c r="G57" s="42"/>
      <c r="H57" s="42"/>
    </row>
    <row r="58" spans="2:9" x14ac:dyDescent="0.3">
      <c r="B58" s="42"/>
      <c r="C58" s="50" t="s">
        <v>302</v>
      </c>
      <c r="D58" s="33" t="s">
        <v>348</v>
      </c>
      <c r="E58" s="60" t="s">
        <v>401</v>
      </c>
      <c r="F58" s="42"/>
      <c r="G58" s="42"/>
      <c r="H58" s="42"/>
    </row>
    <row r="59" spans="2:9" x14ac:dyDescent="0.3">
      <c r="B59" s="42"/>
      <c r="C59" s="42" t="s">
        <v>301</v>
      </c>
      <c r="D59" s="60" t="s">
        <v>340</v>
      </c>
      <c r="E59" s="42" t="s">
        <v>402</v>
      </c>
      <c r="F59" s="42"/>
      <c r="G59" s="42"/>
      <c r="H59" s="42"/>
    </row>
    <row r="60" spans="2:9" x14ac:dyDescent="0.3">
      <c r="B60" s="42"/>
      <c r="C60" s="67" t="s">
        <v>359</v>
      </c>
      <c r="D60" s="60"/>
      <c r="E60" s="42" t="s">
        <v>403</v>
      </c>
      <c r="F60" s="42"/>
      <c r="G60" s="42"/>
      <c r="H60" s="42"/>
    </row>
    <row r="61" spans="2:9" x14ac:dyDescent="0.3">
      <c r="B61" s="42"/>
      <c r="C61" s="67" t="s">
        <v>367</v>
      </c>
      <c r="D61" s="66" t="s">
        <v>297</v>
      </c>
      <c r="E61" s="42" t="s">
        <v>404</v>
      </c>
      <c r="F61" s="42"/>
      <c r="G61" s="42"/>
      <c r="H61" s="42"/>
    </row>
    <row r="62" spans="2:9" x14ac:dyDescent="0.3">
      <c r="B62" s="42"/>
      <c r="C62" s="42" t="s">
        <v>368</v>
      </c>
      <c r="D62" s="33" t="s">
        <v>341</v>
      </c>
      <c r="E62" s="42" t="s">
        <v>405</v>
      </c>
      <c r="F62" s="42"/>
      <c r="G62" s="42"/>
      <c r="H62" s="42"/>
    </row>
    <row r="63" spans="2:9" x14ac:dyDescent="0.3">
      <c r="B63" s="42"/>
      <c r="C63" s="42" t="s">
        <v>369</v>
      </c>
      <c r="D63" s="33" t="s">
        <v>338</v>
      </c>
      <c r="E63" s="42" t="s">
        <v>406</v>
      </c>
      <c r="F63" s="42"/>
      <c r="G63" s="42"/>
      <c r="H63" s="42"/>
    </row>
    <row r="64" spans="2:9" x14ac:dyDescent="0.3">
      <c r="B64" s="42"/>
      <c r="C64" s="42" t="s">
        <v>204</v>
      </c>
      <c r="D64" s="33" t="s">
        <v>283</v>
      </c>
      <c r="E64" s="42" t="s">
        <v>176</v>
      </c>
      <c r="F64" s="42"/>
      <c r="G64" s="42"/>
      <c r="H64" s="42"/>
    </row>
    <row r="65" spans="2:8" x14ac:dyDescent="0.3">
      <c r="B65" s="42"/>
      <c r="C65" s="42" t="s">
        <v>370</v>
      </c>
      <c r="D65" s="33" t="s">
        <v>309</v>
      </c>
      <c r="E65" s="42" t="s">
        <v>180</v>
      </c>
      <c r="F65" s="42"/>
      <c r="G65" s="42"/>
      <c r="H65" s="42"/>
    </row>
    <row r="66" spans="2:8" x14ac:dyDescent="0.3">
      <c r="B66" s="42"/>
      <c r="C66" s="42" t="s">
        <v>176</v>
      </c>
      <c r="D66" s="33" t="s">
        <v>284</v>
      </c>
      <c r="E66" s="42" t="s">
        <v>407</v>
      </c>
      <c r="F66" s="42"/>
      <c r="G66" s="42"/>
      <c r="H66" s="42"/>
    </row>
    <row r="67" spans="2:8" x14ac:dyDescent="0.3">
      <c r="B67" s="42"/>
      <c r="C67" s="42" t="s">
        <v>373</v>
      </c>
      <c r="D67" s="33" t="s">
        <v>285</v>
      </c>
      <c r="E67" s="42" t="s">
        <v>408</v>
      </c>
      <c r="F67" s="42"/>
      <c r="G67" s="42"/>
      <c r="H67" s="42"/>
    </row>
    <row r="68" spans="2:8" x14ac:dyDescent="0.3">
      <c r="B68" s="42"/>
      <c r="C68" s="42" t="s">
        <v>371</v>
      </c>
      <c r="D68" s="42" t="s">
        <v>178</v>
      </c>
      <c r="E68" s="42" t="s">
        <v>409</v>
      </c>
      <c r="F68" s="42"/>
      <c r="G68" s="42"/>
      <c r="H68" s="42"/>
    </row>
    <row r="69" spans="2:8" x14ac:dyDescent="0.3">
      <c r="B69" s="42"/>
      <c r="C69" s="42" t="s">
        <v>372</v>
      </c>
      <c r="D69" s="42" t="s">
        <v>349</v>
      </c>
      <c r="E69" s="42"/>
      <c r="F69" s="42"/>
      <c r="G69" s="42"/>
      <c r="H69" s="42"/>
    </row>
    <row r="70" spans="2:8" x14ac:dyDescent="0.3">
      <c r="B70" s="42"/>
      <c r="C70" s="42" t="s">
        <v>374</v>
      </c>
      <c r="D70" s="33" t="s">
        <v>343</v>
      </c>
      <c r="E70" s="42"/>
      <c r="F70" s="42"/>
      <c r="G70" s="42"/>
      <c r="H70" s="42"/>
    </row>
    <row r="71" spans="2:8" ht="12" thickBot="1" x14ac:dyDescent="0.35">
      <c r="B71" s="57"/>
      <c r="D71" s="42" t="s">
        <v>344</v>
      </c>
      <c r="E71" s="57"/>
      <c r="F71" s="57"/>
      <c r="G71" s="57"/>
      <c r="H71" s="57"/>
    </row>
    <row r="72" spans="2:8" x14ac:dyDescent="0.3">
      <c r="B72" s="59"/>
      <c r="C72" s="53" t="s">
        <v>328</v>
      </c>
      <c r="D72" s="53" t="s">
        <v>347</v>
      </c>
      <c r="E72" s="72"/>
      <c r="F72" s="72"/>
      <c r="G72" s="65" t="s">
        <v>299</v>
      </c>
      <c r="H72" s="59"/>
    </row>
    <row r="73" spans="2:8" x14ac:dyDescent="0.3">
      <c r="B73" s="42"/>
      <c r="C73" s="42" t="s">
        <v>183</v>
      </c>
      <c r="D73" s="42" t="s">
        <v>185</v>
      </c>
      <c r="E73" s="51"/>
      <c r="F73" s="51"/>
      <c r="G73" s="50" t="s">
        <v>183</v>
      </c>
      <c r="H73" s="42"/>
    </row>
    <row r="74" spans="2:8" x14ac:dyDescent="0.3">
      <c r="B74" s="42"/>
      <c r="C74" s="66" t="s">
        <v>293</v>
      </c>
      <c r="D74" s="50" t="s">
        <v>293</v>
      </c>
      <c r="E74" s="60"/>
      <c r="F74" s="60"/>
      <c r="G74" s="66" t="s">
        <v>293</v>
      </c>
      <c r="H74" s="42"/>
    </row>
    <row r="75" spans="2:8" x14ac:dyDescent="0.3">
      <c r="B75" s="42"/>
      <c r="C75" s="66" t="s">
        <v>375</v>
      </c>
      <c r="D75" s="60"/>
      <c r="E75" s="60"/>
      <c r="F75" s="60"/>
      <c r="G75" s="66" t="s">
        <v>302</v>
      </c>
      <c r="H75" s="42"/>
    </row>
    <row r="76" spans="2:8" x14ac:dyDescent="0.3">
      <c r="B76" s="42"/>
      <c r="C76" s="50" t="s">
        <v>302</v>
      </c>
      <c r="D76" s="33" t="s">
        <v>348</v>
      </c>
      <c r="E76" s="60"/>
      <c r="F76" s="60"/>
      <c r="G76" s="50" t="s">
        <v>301</v>
      </c>
      <c r="H76" s="42"/>
    </row>
    <row r="77" spans="2:8" x14ac:dyDescent="0.3">
      <c r="B77" s="42"/>
      <c r="C77" s="42" t="s">
        <v>301</v>
      </c>
      <c r="D77" s="60" t="s">
        <v>340</v>
      </c>
      <c r="E77" s="50"/>
      <c r="F77" s="50"/>
      <c r="G77" s="33" t="s">
        <v>308</v>
      </c>
      <c r="H77" s="42"/>
    </row>
    <row r="78" spans="2:8" x14ac:dyDescent="0.3">
      <c r="B78" s="42"/>
      <c r="C78" s="50" t="s">
        <v>359</v>
      </c>
      <c r="D78" s="66" t="s">
        <v>297</v>
      </c>
      <c r="E78" s="50"/>
      <c r="F78" s="50"/>
      <c r="G78" s="33" t="s">
        <v>276</v>
      </c>
      <c r="H78" s="42"/>
    </row>
    <row r="79" spans="2:8" x14ac:dyDescent="0.3">
      <c r="B79" s="42"/>
      <c r="C79" s="42" t="s">
        <v>360</v>
      </c>
      <c r="D79" s="33" t="s">
        <v>341</v>
      </c>
      <c r="E79" s="50"/>
      <c r="F79" s="50"/>
      <c r="G79" s="33" t="s">
        <v>294</v>
      </c>
      <c r="H79" s="42"/>
    </row>
    <row r="80" spans="2:8" x14ac:dyDescent="0.3">
      <c r="B80" s="42"/>
      <c r="C80" s="42" t="s">
        <v>376</v>
      </c>
      <c r="D80" s="33" t="s">
        <v>338</v>
      </c>
      <c r="E80" s="50"/>
      <c r="F80" s="50"/>
      <c r="G80" s="33" t="s">
        <v>278</v>
      </c>
      <c r="H80" s="42"/>
    </row>
    <row r="81" spans="2:8" x14ac:dyDescent="0.3">
      <c r="B81" s="42"/>
      <c r="C81" s="42" t="s">
        <v>309</v>
      </c>
      <c r="D81" s="33" t="s">
        <v>283</v>
      </c>
      <c r="E81" s="51"/>
      <c r="F81" s="51"/>
      <c r="G81" s="33" t="s">
        <v>285</v>
      </c>
      <c r="H81" s="42"/>
    </row>
    <row r="82" spans="2:8" x14ac:dyDescent="0.3">
      <c r="B82" s="42"/>
      <c r="C82" s="42" t="s">
        <v>377</v>
      </c>
      <c r="E82" s="51"/>
      <c r="F82" s="51"/>
      <c r="G82" s="50" t="s">
        <v>176</v>
      </c>
      <c r="H82" s="42"/>
    </row>
    <row r="83" spans="2:8" x14ac:dyDescent="0.3">
      <c r="B83" s="42"/>
      <c r="C83" s="42" t="s">
        <v>204</v>
      </c>
      <c r="D83" s="33" t="s">
        <v>309</v>
      </c>
      <c r="E83" s="47"/>
      <c r="F83" s="47"/>
      <c r="G83" s="50" t="s">
        <v>303</v>
      </c>
      <c r="H83" s="42"/>
    </row>
    <row r="84" spans="2:8" x14ac:dyDescent="0.3">
      <c r="B84" s="42"/>
      <c r="C84" s="42" t="s">
        <v>370</v>
      </c>
      <c r="D84" s="33" t="s">
        <v>284</v>
      </c>
      <c r="E84" s="42"/>
      <c r="F84" s="42"/>
      <c r="G84" s="50" t="s">
        <v>287</v>
      </c>
      <c r="H84" s="42"/>
    </row>
    <row r="85" spans="2:8" x14ac:dyDescent="0.3">
      <c r="B85" s="42"/>
      <c r="C85" s="42" t="s">
        <v>176</v>
      </c>
      <c r="D85" s="33" t="s">
        <v>285</v>
      </c>
      <c r="E85" s="42"/>
      <c r="F85" s="42"/>
      <c r="G85" s="42" t="s">
        <v>304</v>
      </c>
      <c r="H85" s="42"/>
    </row>
    <row r="86" spans="2:8" ht="12" thickBot="1" x14ac:dyDescent="0.35">
      <c r="B86" s="42"/>
      <c r="C86" s="42" t="s">
        <v>379</v>
      </c>
      <c r="D86" s="42" t="s">
        <v>178</v>
      </c>
      <c r="E86" s="42"/>
      <c r="F86" s="42"/>
      <c r="G86" s="50" t="s">
        <v>305</v>
      </c>
      <c r="H86" s="42"/>
    </row>
    <row r="87" spans="2:8" x14ac:dyDescent="0.3">
      <c r="B87" s="42"/>
      <c r="C87" s="42" t="s">
        <v>380</v>
      </c>
      <c r="D87" s="42" t="s">
        <v>342</v>
      </c>
      <c r="E87" s="42"/>
      <c r="F87" s="42"/>
      <c r="G87" s="65" t="s">
        <v>300</v>
      </c>
      <c r="H87" s="42"/>
    </row>
    <row r="88" spans="2:8" x14ac:dyDescent="0.3">
      <c r="B88" s="42"/>
      <c r="C88" s="42" t="s">
        <v>372</v>
      </c>
      <c r="D88" s="33" t="s">
        <v>343</v>
      </c>
      <c r="E88" s="42"/>
      <c r="F88" s="42"/>
      <c r="G88" s="50" t="s">
        <v>183</v>
      </c>
      <c r="H88" s="42"/>
    </row>
    <row r="89" spans="2:8" x14ac:dyDescent="0.3">
      <c r="B89" s="42"/>
      <c r="C89" s="42" t="s">
        <v>381</v>
      </c>
      <c r="D89" s="42" t="s">
        <v>344</v>
      </c>
      <c r="E89" s="42"/>
      <c r="F89" s="42"/>
      <c r="G89" s="66" t="s">
        <v>293</v>
      </c>
      <c r="H89" s="42"/>
    </row>
    <row r="90" spans="2:8" ht="12" thickBot="1" x14ac:dyDescent="0.35">
      <c r="B90" s="57"/>
      <c r="C90" s="33" t="s">
        <v>390</v>
      </c>
      <c r="D90" s="58"/>
      <c r="E90" s="57"/>
      <c r="F90" s="57"/>
      <c r="G90" s="66" t="s">
        <v>302</v>
      </c>
      <c r="H90" s="57"/>
    </row>
    <row r="91" spans="2:8" x14ac:dyDescent="0.3">
      <c r="B91" s="42"/>
      <c r="C91" s="43" t="s">
        <v>378</v>
      </c>
      <c r="D91" s="53" t="s">
        <v>350</v>
      </c>
      <c r="E91" s="74"/>
      <c r="F91" s="74"/>
      <c r="G91" s="50" t="s">
        <v>301</v>
      </c>
      <c r="H91" s="42"/>
    </row>
    <row r="92" spans="2:8" x14ac:dyDescent="0.3">
      <c r="B92" s="42"/>
      <c r="C92" s="50" t="s">
        <v>382</v>
      </c>
      <c r="D92" s="42" t="s">
        <v>345</v>
      </c>
      <c r="E92" s="47"/>
      <c r="F92" s="47"/>
      <c r="G92" s="33" t="s">
        <v>315</v>
      </c>
      <c r="H92" s="42"/>
    </row>
    <row r="93" spans="2:8" x14ac:dyDescent="0.3">
      <c r="B93" s="42"/>
      <c r="C93" s="66" t="s">
        <v>383</v>
      </c>
      <c r="D93" s="50" t="s">
        <v>217</v>
      </c>
      <c r="E93" s="42"/>
      <c r="F93" s="42"/>
      <c r="G93" s="33" t="s">
        <v>276</v>
      </c>
      <c r="H93" s="42"/>
    </row>
    <row r="94" spans="2:8" x14ac:dyDescent="0.3">
      <c r="B94" s="42"/>
      <c r="C94" s="66" t="s">
        <v>329</v>
      </c>
      <c r="D94" s="33" t="s">
        <v>351</v>
      </c>
      <c r="E94" s="49"/>
      <c r="F94" s="49"/>
      <c r="G94" s="33" t="s">
        <v>294</v>
      </c>
      <c r="H94" s="42"/>
    </row>
    <row r="95" spans="2:8" x14ac:dyDescent="0.3">
      <c r="B95" s="42"/>
      <c r="C95" s="50" t="s">
        <v>392</v>
      </c>
      <c r="D95" s="60" t="s">
        <v>340</v>
      </c>
      <c r="E95" s="49"/>
      <c r="F95" s="49"/>
      <c r="G95" s="33" t="s">
        <v>306</v>
      </c>
      <c r="H95" s="42"/>
    </row>
    <row r="96" spans="2:8" x14ac:dyDescent="0.3">
      <c r="B96" s="42"/>
      <c r="C96" s="50" t="s">
        <v>393</v>
      </c>
      <c r="D96" s="66" t="s">
        <v>297</v>
      </c>
      <c r="E96" s="50"/>
      <c r="F96" s="50"/>
      <c r="G96" s="33" t="s">
        <v>285</v>
      </c>
      <c r="H96" s="42"/>
    </row>
    <row r="97" spans="2:8" x14ac:dyDescent="0.3">
      <c r="B97" s="42"/>
      <c r="C97" s="50" t="s">
        <v>384</v>
      </c>
      <c r="D97" s="33" t="s">
        <v>341</v>
      </c>
      <c r="E97" s="50"/>
      <c r="F97" s="50"/>
      <c r="G97" s="50" t="s">
        <v>176</v>
      </c>
      <c r="H97" s="42"/>
    </row>
    <row r="98" spans="2:8" x14ac:dyDescent="0.3">
      <c r="B98" s="42"/>
      <c r="C98" s="50" t="s">
        <v>394</v>
      </c>
      <c r="D98" s="33" t="s">
        <v>338</v>
      </c>
      <c r="E98" s="42"/>
      <c r="F98" s="42"/>
      <c r="G98" s="50" t="s">
        <v>303</v>
      </c>
      <c r="H98" s="42"/>
    </row>
    <row r="99" spans="2:8" x14ac:dyDescent="0.3">
      <c r="B99" s="42"/>
      <c r="C99" s="50" t="s">
        <v>276</v>
      </c>
      <c r="D99" s="33" t="s">
        <v>283</v>
      </c>
      <c r="E99" s="42"/>
      <c r="F99" s="42"/>
      <c r="G99" s="50" t="s">
        <v>287</v>
      </c>
      <c r="H99" s="42"/>
    </row>
    <row r="100" spans="2:8" ht="12" thickBot="1" x14ac:dyDescent="0.35">
      <c r="B100" s="42"/>
      <c r="C100" s="50" t="s">
        <v>395</v>
      </c>
      <c r="D100" s="33" t="s">
        <v>309</v>
      </c>
      <c r="E100" s="42"/>
      <c r="F100" s="42"/>
      <c r="G100" s="42" t="s">
        <v>307</v>
      </c>
      <c r="H100" s="42"/>
    </row>
    <row r="101" spans="2:8" x14ac:dyDescent="0.3">
      <c r="B101" s="42"/>
      <c r="C101" s="50" t="s">
        <v>385</v>
      </c>
      <c r="D101" s="33" t="s">
        <v>284</v>
      </c>
      <c r="E101" s="42"/>
      <c r="F101" s="65"/>
      <c r="G101" s="50" t="s">
        <v>305</v>
      </c>
      <c r="H101" s="43"/>
    </row>
    <row r="102" spans="2:8" x14ac:dyDescent="0.3">
      <c r="B102" s="42"/>
      <c r="C102" s="50" t="s">
        <v>190</v>
      </c>
      <c r="D102" s="33" t="s">
        <v>285</v>
      </c>
      <c r="E102" s="42"/>
      <c r="F102" s="50"/>
      <c r="G102" s="50"/>
      <c r="H102" s="42"/>
    </row>
    <row r="103" spans="2:8" x14ac:dyDescent="0.3">
      <c r="B103" s="42"/>
      <c r="C103" s="50" t="s">
        <v>386</v>
      </c>
      <c r="D103" s="42" t="s">
        <v>178</v>
      </c>
      <c r="E103" s="42"/>
      <c r="F103" s="66"/>
      <c r="G103" s="66"/>
      <c r="H103" s="42"/>
    </row>
    <row r="104" spans="2:8" x14ac:dyDescent="0.3">
      <c r="B104" s="42"/>
      <c r="C104" s="50" t="s">
        <v>379</v>
      </c>
      <c r="D104" s="42" t="s">
        <v>349</v>
      </c>
      <c r="E104" s="42"/>
      <c r="F104" s="66"/>
      <c r="G104" s="60"/>
    </row>
    <row r="105" spans="2:8" x14ac:dyDescent="0.3">
      <c r="B105" s="42"/>
      <c r="C105" s="50" t="s">
        <v>388</v>
      </c>
      <c r="D105" s="33" t="s">
        <v>352</v>
      </c>
      <c r="E105" s="42"/>
      <c r="F105" s="50"/>
      <c r="G105" s="50"/>
      <c r="H105" s="42"/>
    </row>
    <row r="106" spans="2:8" x14ac:dyDescent="0.3">
      <c r="B106" s="42"/>
      <c r="C106" s="50" t="s">
        <v>387</v>
      </c>
      <c r="D106" s="42" t="s">
        <v>344</v>
      </c>
      <c r="E106" s="51"/>
    </row>
    <row r="107" spans="2:8" ht="12" thickBot="1" x14ac:dyDescent="0.35">
      <c r="B107" s="42"/>
      <c r="C107" s="50" t="s">
        <v>389</v>
      </c>
      <c r="D107" s="58"/>
      <c r="E107" s="47"/>
    </row>
    <row r="108" spans="2:8" x14ac:dyDescent="0.3">
      <c r="B108" s="42"/>
      <c r="C108" s="49" t="s">
        <v>391</v>
      </c>
      <c r="D108" s="46"/>
      <c r="E108" s="42"/>
      <c r="H108" s="42"/>
    </row>
    <row r="109" spans="2:8" x14ac:dyDescent="0.3">
      <c r="B109" s="42"/>
      <c r="D109" s="42"/>
      <c r="E109" s="42"/>
      <c r="H109" s="42"/>
    </row>
    <row r="110" spans="2:8" x14ac:dyDescent="0.3">
      <c r="B110" s="42"/>
      <c r="C110" s="42"/>
      <c r="D110" s="42"/>
      <c r="E110" s="42"/>
      <c r="H110" s="42"/>
    </row>
    <row r="111" spans="2:8" x14ac:dyDescent="0.3">
      <c r="B111" s="42"/>
      <c r="C111" s="42"/>
      <c r="D111" s="46"/>
      <c r="E111" s="42"/>
      <c r="F111" s="50"/>
      <c r="G111" s="50"/>
      <c r="H111" s="42"/>
    </row>
    <row r="112" spans="2:8" x14ac:dyDescent="0.3">
      <c r="B112" s="42"/>
      <c r="C112" s="42"/>
      <c r="D112" s="42"/>
      <c r="E112" s="51"/>
      <c r="F112" s="50"/>
      <c r="G112" s="50"/>
      <c r="H112" s="51"/>
    </row>
    <row r="113" spans="2:8" x14ac:dyDescent="0.3">
      <c r="B113" s="42"/>
      <c r="C113" s="42"/>
      <c r="D113" s="42"/>
      <c r="E113" s="47"/>
      <c r="F113" s="50"/>
      <c r="G113" s="50"/>
      <c r="H113" s="47"/>
    </row>
    <row r="114" spans="2:8" x14ac:dyDescent="0.3">
      <c r="B114" s="42"/>
      <c r="C114" s="42"/>
      <c r="D114" s="42"/>
      <c r="E114" s="42"/>
      <c r="F114" s="42"/>
      <c r="G114" s="42"/>
      <c r="H114" s="42"/>
    </row>
    <row r="115" spans="2:8" ht="12" thickBot="1" x14ac:dyDescent="0.35">
      <c r="B115" s="42"/>
      <c r="C115" s="42"/>
      <c r="D115" s="42"/>
      <c r="E115" s="42"/>
      <c r="F115" s="50"/>
      <c r="G115" s="50"/>
      <c r="H115" s="42"/>
    </row>
    <row r="116" spans="2:8" x14ac:dyDescent="0.3">
      <c r="B116" s="42"/>
      <c r="C116" s="42"/>
      <c r="D116" s="42"/>
      <c r="E116" s="42"/>
      <c r="F116" s="65"/>
      <c r="G116" s="68"/>
      <c r="H116" s="43"/>
    </row>
    <row r="117" spans="2:8" x14ac:dyDescent="0.3">
      <c r="B117" s="42"/>
      <c r="C117" s="42"/>
      <c r="D117" s="42"/>
      <c r="E117" s="42"/>
      <c r="F117" s="50"/>
      <c r="G117" s="50"/>
      <c r="H117" s="42"/>
    </row>
    <row r="118" spans="2:8" x14ac:dyDescent="0.3">
      <c r="B118" s="42"/>
      <c r="C118" s="42"/>
      <c r="D118" s="42"/>
      <c r="E118" s="42"/>
      <c r="F118" s="66"/>
      <c r="G118" s="66"/>
      <c r="H118" s="42"/>
    </row>
    <row r="119" spans="2:8" x14ac:dyDescent="0.3">
      <c r="B119" s="42"/>
      <c r="C119" s="42"/>
      <c r="D119" s="42"/>
      <c r="E119" s="42"/>
      <c r="F119" s="66"/>
      <c r="G119" s="60"/>
    </row>
    <row r="120" spans="2:8" x14ac:dyDescent="0.3">
      <c r="B120" s="42"/>
      <c r="C120" s="42"/>
      <c r="D120" s="42"/>
      <c r="E120" s="42"/>
      <c r="F120" s="50"/>
      <c r="G120" s="50"/>
      <c r="H120" s="42"/>
    </row>
    <row r="121" spans="2:8" x14ac:dyDescent="0.3">
      <c r="B121" s="42"/>
      <c r="C121" s="42"/>
      <c r="D121" s="42"/>
      <c r="E121" s="51"/>
    </row>
    <row r="122" spans="2:8" x14ac:dyDescent="0.3">
      <c r="B122" s="42"/>
      <c r="C122" s="42"/>
      <c r="D122" s="42"/>
      <c r="E122" s="47"/>
    </row>
    <row r="123" spans="2:8" x14ac:dyDescent="0.3">
      <c r="B123" s="42"/>
      <c r="C123" s="42"/>
      <c r="D123" s="42"/>
      <c r="E123" s="42"/>
      <c r="H123" s="42"/>
    </row>
    <row r="124" spans="2:8" x14ac:dyDescent="0.3">
      <c r="B124" s="42"/>
      <c r="C124" s="42"/>
      <c r="D124" s="42"/>
      <c r="E124" s="42"/>
      <c r="H124" s="42"/>
    </row>
    <row r="125" spans="2:8" x14ac:dyDescent="0.3">
      <c r="B125" s="42"/>
      <c r="C125" s="42"/>
      <c r="D125" s="42"/>
      <c r="E125" s="42"/>
      <c r="H125" s="42"/>
    </row>
    <row r="126" spans="2:8" x14ac:dyDescent="0.3">
      <c r="B126" s="42"/>
      <c r="C126" s="42"/>
      <c r="D126" s="42"/>
      <c r="E126" s="42"/>
      <c r="F126" s="50"/>
      <c r="G126" s="50"/>
      <c r="H126" s="42"/>
    </row>
    <row r="127" spans="2:8" x14ac:dyDescent="0.3">
      <c r="B127" s="42"/>
      <c r="C127" s="42"/>
      <c r="D127" s="42"/>
      <c r="E127" s="51"/>
      <c r="F127" s="50"/>
      <c r="G127" s="50"/>
      <c r="H127" s="51"/>
    </row>
    <row r="128" spans="2:8" x14ac:dyDescent="0.3">
      <c r="B128" s="42"/>
      <c r="C128" s="42"/>
      <c r="D128" s="42"/>
      <c r="E128" s="47"/>
      <c r="F128" s="50"/>
      <c r="G128" s="50"/>
      <c r="H128" s="47"/>
    </row>
    <row r="129" spans="2:8" x14ac:dyDescent="0.3">
      <c r="B129" s="42"/>
      <c r="C129" s="42"/>
      <c r="D129" s="42"/>
      <c r="E129" s="42"/>
      <c r="F129" s="42"/>
      <c r="G129" s="42"/>
      <c r="H129" s="42"/>
    </row>
    <row r="130" spans="2:8" x14ac:dyDescent="0.3">
      <c r="B130" s="42"/>
      <c r="C130" s="42"/>
      <c r="D130" s="42"/>
      <c r="E130" s="42"/>
      <c r="F130" s="50"/>
      <c r="G130" s="50"/>
      <c r="H130" s="42"/>
    </row>
    <row r="131" spans="2:8" x14ac:dyDescent="0.3">
      <c r="B131" s="42"/>
      <c r="C131" s="42"/>
      <c r="D131" s="42"/>
      <c r="E131" s="42"/>
      <c r="F131" s="42"/>
      <c r="G131" s="42"/>
      <c r="H131" s="42"/>
    </row>
    <row r="132" spans="2:8" ht="16.5" customHeight="1" x14ac:dyDescent="0.3">
      <c r="B132" s="42"/>
      <c r="C132" s="42"/>
      <c r="D132" s="42"/>
      <c r="E132" s="75"/>
      <c r="F132" s="75"/>
      <c r="G132" s="64"/>
      <c r="H132" s="42"/>
    </row>
    <row r="133" spans="2:8" x14ac:dyDescent="0.3">
      <c r="B133" s="42"/>
      <c r="C133" s="42"/>
      <c r="D133" s="42"/>
      <c r="E133" s="50"/>
      <c r="F133" s="50"/>
      <c r="G133" s="42"/>
      <c r="H133" s="42"/>
    </row>
    <row r="134" spans="2:8" x14ac:dyDescent="0.3">
      <c r="B134" s="42"/>
      <c r="C134" s="42"/>
      <c r="D134" s="42"/>
      <c r="E134" s="50"/>
      <c r="F134" s="50"/>
      <c r="G134" s="42"/>
      <c r="H134" s="42"/>
    </row>
    <row r="135" spans="2:8" x14ac:dyDescent="0.3">
      <c r="B135" s="42"/>
      <c r="C135" s="42"/>
      <c r="D135" s="42"/>
      <c r="E135" s="60"/>
      <c r="F135" s="60"/>
      <c r="G135" s="42"/>
      <c r="H135" s="42"/>
    </row>
    <row r="136" spans="2:8" x14ac:dyDescent="0.3">
      <c r="B136" s="42"/>
      <c r="C136" s="42"/>
      <c r="D136" s="42"/>
      <c r="E136" s="66"/>
      <c r="F136" s="66"/>
      <c r="G136" s="42"/>
      <c r="H136" s="42"/>
    </row>
    <row r="137" spans="2:8" x14ac:dyDescent="0.3">
      <c r="B137" s="42"/>
      <c r="C137" s="42"/>
      <c r="D137" s="42"/>
      <c r="E137" s="49"/>
      <c r="F137" s="49"/>
      <c r="G137" s="42"/>
      <c r="H137" s="42"/>
    </row>
    <row r="138" spans="2:8" x14ac:dyDescent="0.3">
      <c r="B138" s="42"/>
      <c r="C138" s="42"/>
      <c r="D138" s="42"/>
      <c r="E138" s="49"/>
      <c r="F138" s="49"/>
      <c r="G138" s="42"/>
      <c r="H138" s="42"/>
    </row>
    <row r="139" spans="2:8" x14ac:dyDescent="0.3">
      <c r="B139" s="42"/>
      <c r="C139" s="42"/>
      <c r="D139" s="42"/>
      <c r="E139" s="49"/>
      <c r="F139" s="49"/>
      <c r="G139" s="42"/>
      <c r="H139" s="42"/>
    </row>
    <row r="140" spans="2:8" x14ac:dyDescent="0.3">
      <c r="B140" s="42"/>
      <c r="C140" s="42"/>
      <c r="D140" s="42"/>
      <c r="E140" s="49"/>
      <c r="F140" s="49"/>
      <c r="G140" s="42"/>
      <c r="H140" s="42"/>
    </row>
    <row r="141" spans="2:8" x14ac:dyDescent="0.3">
      <c r="B141" s="42"/>
      <c r="C141" s="42"/>
      <c r="D141" s="42"/>
      <c r="E141" s="49"/>
      <c r="F141" s="49"/>
      <c r="G141" s="42"/>
      <c r="H141" s="42"/>
    </row>
    <row r="142" spans="2:8" x14ac:dyDescent="0.3">
      <c r="B142" s="42"/>
      <c r="C142" s="42"/>
      <c r="D142" s="42"/>
      <c r="E142" s="49"/>
      <c r="F142" s="49"/>
      <c r="G142" s="42"/>
      <c r="H142" s="42"/>
    </row>
    <row r="143" spans="2:8" x14ac:dyDescent="0.3">
      <c r="B143" s="42"/>
      <c r="C143" s="42"/>
      <c r="D143" s="42"/>
      <c r="E143" s="50"/>
      <c r="F143" s="50"/>
      <c r="G143" s="42"/>
      <c r="H143" s="42"/>
    </row>
    <row r="144" spans="2:8" x14ac:dyDescent="0.3">
      <c r="B144" s="42"/>
      <c r="C144" s="42"/>
      <c r="D144" s="42"/>
      <c r="E144" s="50"/>
      <c r="F144" s="50"/>
      <c r="G144" s="42"/>
      <c r="H144" s="42"/>
    </row>
    <row r="145" spans="2:8" x14ac:dyDescent="0.3">
      <c r="B145" s="42"/>
      <c r="C145" s="42"/>
      <c r="D145" s="42"/>
      <c r="E145" s="49"/>
      <c r="F145" s="49"/>
      <c r="G145" s="42"/>
      <c r="H145" s="42"/>
    </row>
    <row r="146" spans="2:8" x14ac:dyDescent="0.3">
      <c r="B146" s="42"/>
      <c r="C146" s="42"/>
      <c r="D146" s="42"/>
      <c r="E146" s="50"/>
      <c r="F146" s="50"/>
      <c r="G146" s="42"/>
      <c r="H146" s="42"/>
    </row>
    <row r="147" spans="2:8" x14ac:dyDescent="0.3">
      <c r="B147" s="42"/>
      <c r="C147" s="42"/>
      <c r="D147" s="42"/>
      <c r="F147" s="42"/>
      <c r="G147" s="42"/>
      <c r="H147" s="42"/>
    </row>
    <row r="148" spans="2:8" x14ac:dyDescent="0.3">
      <c r="B148" s="42"/>
      <c r="C148" s="42"/>
      <c r="D148" s="42"/>
      <c r="E148" s="42"/>
      <c r="F148" s="42"/>
      <c r="G148" s="42"/>
      <c r="H148" s="42"/>
    </row>
    <row r="149" spans="2:8" x14ac:dyDescent="0.3">
      <c r="B149" s="42"/>
      <c r="C149" s="42"/>
      <c r="D149" s="42"/>
      <c r="E149" s="42"/>
      <c r="F149" s="42"/>
      <c r="G149" s="42"/>
      <c r="H149" s="42"/>
    </row>
    <row r="150" spans="2:8" x14ac:dyDescent="0.3">
      <c r="B150" s="42"/>
      <c r="C150" s="42"/>
      <c r="D150" s="42"/>
      <c r="E150" s="42"/>
      <c r="F150" s="42"/>
      <c r="G150" s="42"/>
      <c r="H150" s="42"/>
    </row>
    <row r="151" spans="2:8" x14ac:dyDescent="0.3">
      <c r="B151" s="42"/>
      <c r="C151" s="42"/>
      <c r="D151" s="42"/>
      <c r="E151" s="42"/>
      <c r="F151" s="42"/>
      <c r="G151" s="42"/>
      <c r="H151" s="42"/>
    </row>
    <row r="152" spans="2:8" x14ac:dyDescent="0.3">
      <c r="B152" s="42"/>
      <c r="C152" s="42"/>
      <c r="D152" s="42"/>
      <c r="E152" s="42"/>
      <c r="F152" s="42"/>
      <c r="G152" s="42"/>
      <c r="H152" s="42"/>
    </row>
    <row r="153" spans="2:8" x14ac:dyDescent="0.3">
      <c r="B153" s="42"/>
      <c r="C153" s="42"/>
      <c r="D153" s="42"/>
      <c r="E153" s="42"/>
      <c r="F153" s="42"/>
      <c r="G153" s="42"/>
      <c r="H153" s="42"/>
    </row>
    <row r="154" spans="2:8" x14ac:dyDescent="0.3">
      <c r="B154" s="42"/>
      <c r="C154" s="42"/>
      <c r="D154" s="42"/>
      <c r="E154" s="42"/>
      <c r="F154" s="42"/>
      <c r="G154" s="42"/>
      <c r="H154" s="42"/>
    </row>
    <row r="155" spans="2:8" x14ac:dyDescent="0.3">
      <c r="B155" s="42"/>
      <c r="C155" s="42"/>
      <c r="D155" s="42"/>
      <c r="E155" s="42"/>
      <c r="F155" s="42"/>
      <c r="G155" s="42"/>
      <c r="H155" s="42"/>
    </row>
    <row r="156" spans="2:8" x14ac:dyDescent="0.3">
      <c r="B156" s="42"/>
      <c r="C156" s="42"/>
      <c r="D156" s="42"/>
      <c r="E156" s="42"/>
      <c r="F156" s="42"/>
      <c r="G156" s="42"/>
      <c r="H156" s="42"/>
    </row>
    <row r="157" spans="2:8" x14ac:dyDescent="0.3">
      <c r="B157" s="42"/>
      <c r="C157" s="42"/>
      <c r="D157" s="42"/>
      <c r="E157" s="42"/>
      <c r="F157" s="42"/>
      <c r="G157" s="42"/>
      <c r="H157" s="42"/>
    </row>
    <row r="158" spans="2:8" x14ac:dyDescent="0.3">
      <c r="B158" s="42"/>
      <c r="C158" s="42"/>
      <c r="D158" s="42"/>
      <c r="E158" s="42"/>
      <c r="F158" s="42"/>
      <c r="G158" s="42"/>
      <c r="H158" s="42"/>
    </row>
    <row r="159" spans="2:8" x14ac:dyDescent="0.3">
      <c r="B159" s="42"/>
      <c r="C159" s="42"/>
      <c r="D159" s="42"/>
      <c r="E159" s="42"/>
      <c r="F159" s="42"/>
      <c r="G159" s="42"/>
      <c r="H159" s="42"/>
    </row>
    <row r="160" spans="2:8" x14ac:dyDescent="0.3">
      <c r="B160" s="42"/>
      <c r="C160" s="42"/>
      <c r="D160" s="42"/>
      <c r="E160" s="42"/>
      <c r="F160" s="42"/>
      <c r="G160" s="42"/>
      <c r="H160" s="42"/>
    </row>
    <row r="161" spans="2:8" x14ac:dyDescent="0.3">
      <c r="B161" s="42"/>
      <c r="C161" s="42"/>
      <c r="D161" s="42"/>
      <c r="E161" s="42"/>
      <c r="F161" s="42"/>
      <c r="G161" s="42"/>
      <c r="H161" s="42"/>
    </row>
    <row r="162" spans="2:8" x14ac:dyDescent="0.3">
      <c r="B162" s="42"/>
      <c r="C162" s="42"/>
      <c r="D162" s="42"/>
      <c r="E162" s="42"/>
      <c r="F162" s="42"/>
      <c r="G162" s="42"/>
      <c r="H162" s="42"/>
    </row>
    <row r="163" spans="2:8" x14ac:dyDescent="0.3">
      <c r="B163" s="42"/>
      <c r="C163" s="42"/>
      <c r="D163" s="42"/>
      <c r="E163" s="42"/>
      <c r="F163" s="42"/>
      <c r="G163" s="42"/>
      <c r="H163" s="42"/>
    </row>
    <row r="164" spans="2:8" x14ac:dyDescent="0.3">
      <c r="B164" s="42"/>
      <c r="C164" s="42"/>
      <c r="D164" s="42"/>
      <c r="E164" s="42"/>
      <c r="F164" s="42"/>
      <c r="G164" s="42"/>
      <c r="H164" s="42"/>
    </row>
    <row r="165" spans="2:8" x14ac:dyDescent="0.3">
      <c r="B165" s="42"/>
      <c r="C165" s="42"/>
      <c r="D165" s="42"/>
      <c r="E165" s="42"/>
      <c r="F165" s="42"/>
      <c r="G165" s="42"/>
      <c r="H165" s="42"/>
    </row>
    <row r="166" spans="2:8" x14ac:dyDescent="0.3">
      <c r="B166" s="42"/>
      <c r="C166" s="42"/>
      <c r="D166" s="42"/>
      <c r="E166" s="42"/>
      <c r="F166" s="42"/>
      <c r="G166" s="42"/>
      <c r="H166" s="42"/>
    </row>
    <row r="167" spans="2:8" x14ac:dyDescent="0.3">
      <c r="B167" s="42"/>
      <c r="C167" s="42"/>
      <c r="D167" s="42"/>
      <c r="E167" s="42"/>
      <c r="F167" s="42"/>
      <c r="G167" s="42"/>
      <c r="H167" s="42"/>
    </row>
    <row r="168" spans="2:8" x14ac:dyDescent="0.3">
      <c r="B168" s="42"/>
      <c r="C168" s="42"/>
      <c r="D168" s="42"/>
      <c r="E168" s="42"/>
      <c r="F168" s="42"/>
      <c r="G168" s="42"/>
      <c r="H168" s="42"/>
    </row>
    <row r="169" spans="2:8" x14ac:dyDescent="0.3">
      <c r="B169" s="42"/>
      <c r="C169" s="42"/>
      <c r="D169" s="42"/>
      <c r="E169" s="42"/>
      <c r="F169" s="42"/>
      <c r="G169" s="42"/>
      <c r="H169" s="42"/>
    </row>
    <row r="170" spans="2:8" x14ac:dyDescent="0.3">
      <c r="B170" s="42"/>
      <c r="C170" s="42"/>
      <c r="D170" s="42"/>
      <c r="E170" s="42"/>
      <c r="F170" s="42"/>
      <c r="G170" s="42"/>
      <c r="H170" s="42"/>
    </row>
    <row r="171" spans="2:8" x14ac:dyDescent="0.3">
      <c r="B171" s="42"/>
      <c r="C171" s="42"/>
      <c r="D171" s="42"/>
      <c r="E171" s="42"/>
      <c r="F171" s="42"/>
      <c r="G171" s="42"/>
      <c r="H171" s="42"/>
    </row>
    <row r="172" spans="2:8" x14ac:dyDescent="0.3">
      <c r="B172" s="42"/>
      <c r="C172" s="42"/>
      <c r="D172" s="42"/>
      <c r="E172" s="42"/>
      <c r="F172" s="42"/>
      <c r="G172" s="42"/>
      <c r="H172" s="42"/>
    </row>
    <row r="173" spans="2:8" x14ac:dyDescent="0.3">
      <c r="B173" s="42"/>
      <c r="C173" s="42"/>
      <c r="D173" s="42"/>
      <c r="E173" s="42"/>
      <c r="F173" s="42"/>
      <c r="G173" s="42"/>
      <c r="H173" s="42"/>
    </row>
    <row r="174" spans="2:8" x14ac:dyDescent="0.3">
      <c r="B174" s="42"/>
      <c r="C174" s="42"/>
      <c r="D174" s="42"/>
      <c r="E174" s="42"/>
      <c r="F174" s="42"/>
      <c r="G174" s="42"/>
      <c r="H174" s="42"/>
    </row>
    <row r="175" spans="2:8" x14ac:dyDescent="0.3">
      <c r="B175" s="42"/>
      <c r="C175" s="42"/>
      <c r="D175" s="42"/>
      <c r="E175" s="42"/>
      <c r="F175" s="42"/>
      <c r="G175" s="42"/>
      <c r="H175" s="42"/>
    </row>
    <row r="176" spans="2:8" x14ac:dyDescent="0.3">
      <c r="B176" s="42"/>
      <c r="C176" s="42"/>
      <c r="D176" s="42"/>
      <c r="E176" s="42"/>
      <c r="F176" s="42"/>
      <c r="G176" s="42"/>
      <c r="H176" s="42"/>
    </row>
    <row r="177" spans="2:8" x14ac:dyDescent="0.3">
      <c r="B177" s="42"/>
      <c r="C177" s="42"/>
      <c r="D177" s="42"/>
      <c r="E177" s="42"/>
      <c r="F177" s="42"/>
      <c r="G177" s="42"/>
      <c r="H177" s="42"/>
    </row>
    <row r="178" spans="2:8" x14ac:dyDescent="0.3">
      <c r="B178" s="42"/>
      <c r="C178" s="42"/>
      <c r="D178" s="42"/>
      <c r="E178" s="42"/>
      <c r="F178" s="42"/>
      <c r="G178" s="42"/>
      <c r="H178" s="42"/>
    </row>
    <row r="179" spans="2:8" x14ac:dyDescent="0.3">
      <c r="B179" s="42"/>
      <c r="C179" s="42"/>
      <c r="D179" s="42"/>
      <c r="E179" s="42"/>
      <c r="F179" s="42"/>
      <c r="G179" s="42"/>
      <c r="H179" s="42"/>
    </row>
    <row r="180" spans="2:8" x14ac:dyDescent="0.3">
      <c r="B180" s="42"/>
      <c r="C180" s="42"/>
      <c r="D180" s="42"/>
      <c r="E180" s="42"/>
      <c r="F180" s="42"/>
      <c r="G180" s="42"/>
      <c r="H180" s="42"/>
    </row>
    <row r="181" spans="2:8" x14ac:dyDescent="0.3">
      <c r="B181" s="42"/>
      <c r="C181" s="42"/>
      <c r="D181" s="42"/>
      <c r="E181" s="42"/>
      <c r="F181" s="42"/>
      <c r="G181" s="42"/>
      <c r="H181" s="42"/>
    </row>
    <row r="182" spans="2:8" x14ac:dyDescent="0.3">
      <c r="B182" s="42"/>
      <c r="C182" s="42"/>
      <c r="D182" s="42"/>
      <c r="E182" s="42"/>
      <c r="F182" s="42"/>
      <c r="G182" s="42"/>
      <c r="H182" s="42"/>
    </row>
    <row r="183" spans="2:8" x14ac:dyDescent="0.3">
      <c r="B183" s="42"/>
      <c r="C183" s="42"/>
      <c r="D183" s="42"/>
      <c r="E183" s="42"/>
      <c r="F183" s="42"/>
      <c r="G183" s="42"/>
      <c r="H183" s="42"/>
    </row>
    <row r="184" spans="2:8" x14ac:dyDescent="0.3">
      <c r="B184" s="42"/>
      <c r="C184" s="42"/>
      <c r="D184" s="42"/>
      <c r="E184" s="42"/>
      <c r="F184" s="42"/>
      <c r="G184" s="42"/>
      <c r="H184" s="42"/>
    </row>
    <row r="185" spans="2:8" x14ac:dyDescent="0.3">
      <c r="B185" s="42"/>
      <c r="C185" s="42"/>
      <c r="D185" s="42"/>
      <c r="E185" s="42"/>
      <c r="F185" s="42"/>
      <c r="G185" s="42"/>
      <c r="H185" s="42"/>
    </row>
    <row r="186" spans="2:8" x14ac:dyDescent="0.3">
      <c r="B186" s="42"/>
      <c r="C186" s="42"/>
      <c r="D186" s="42"/>
      <c r="E186" s="42"/>
      <c r="F186" s="42"/>
      <c r="G186" s="42"/>
      <c r="H186" s="42"/>
    </row>
    <row r="187" spans="2:8" x14ac:dyDescent="0.3">
      <c r="B187" s="42"/>
      <c r="C187" s="42"/>
      <c r="D187" s="42"/>
      <c r="E187" s="42"/>
      <c r="F187" s="42"/>
      <c r="G187" s="42"/>
      <c r="H187" s="42"/>
    </row>
    <row r="188" spans="2:8" x14ac:dyDescent="0.3">
      <c r="B188" s="42"/>
      <c r="C188" s="42"/>
      <c r="D188" s="42"/>
      <c r="E188" s="42"/>
      <c r="F188" s="42"/>
      <c r="G188" s="42"/>
      <c r="H188" s="42"/>
    </row>
    <row r="189" spans="2:8" x14ac:dyDescent="0.3">
      <c r="B189" s="42"/>
      <c r="C189" s="42"/>
      <c r="D189" s="42"/>
      <c r="E189" s="42"/>
      <c r="F189" s="42"/>
      <c r="G189" s="42"/>
      <c r="H189" s="42"/>
    </row>
    <row r="190" spans="2:8" x14ac:dyDescent="0.3">
      <c r="B190" s="42"/>
      <c r="C190" s="42"/>
      <c r="D190" s="42"/>
      <c r="E190" s="42"/>
      <c r="F190" s="42"/>
      <c r="G190" s="42"/>
      <c r="H190" s="42"/>
    </row>
    <row r="191" spans="2:8" x14ac:dyDescent="0.3">
      <c r="B191" s="42"/>
      <c r="C191" s="42"/>
      <c r="D191" s="42"/>
      <c r="E191" s="42"/>
      <c r="F191" s="42"/>
      <c r="G191" s="42"/>
      <c r="H191" s="42"/>
    </row>
    <row r="192" spans="2:8" x14ac:dyDescent="0.3">
      <c r="B192" s="42"/>
      <c r="C192" s="42"/>
      <c r="D192" s="42"/>
      <c r="E192" s="42"/>
      <c r="F192" s="42"/>
      <c r="G192" s="42"/>
      <c r="H192" s="42"/>
    </row>
    <row r="193" spans="2:8" x14ac:dyDescent="0.3">
      <c r="B193" s="42"/>
      <c r="C193" s="42"/>
      <c r="D193" s="42"/>
      <c r="E193" s="42"/>
      <c r="F193" s="42"/>
      <c r="G193" s="42"/>
      <c r="H193" s="42"/>
    </row>
    <row r="194" spans="2:8" x14ac:dyDescent="0.3">
      <c r="B194" s="42"/>
      <c r="C194" s="42"/>
      <c r="D194" s="42"/>
      <c r="E194" s="42"/>
      <c r="F194" s="42"/>
      <c r="G194" s="42"/>
      <c r="H194" s="42"/>
    </row>
    <row r="195" spans="2:8" x14ac:dyDescent="0.3">
      <c r="B195" s="42"/>
      <c r="C195" s="42"/>
      <c r="D195" s="42"/>
      <c r="E195" s="42"/>
      <c r="F195" s="42"/>
      <c r="G195" s="42"/>
      <c r="H195" s="42"/>
    </row>
    <row r="196" spans="2:8" x14ac:dyDescent="0.3">
      <c r="B196" s="42"/>
      <c r="C196" s="42"/>
      <c r="D196" s="42"/>
      <c r="E196" s="42"/>
      <c r="F196" s="42"/>
      <c r="G196" s="42"/>
      <c r="H196" s="42"/>
    </row>
    <row r="197" spans="2:8" x14ac:dyDescent="0.3">
      <c r="B197" s="42"/>
      <c r="C197" s="42"/>
      <c r="D197" s="42"/>
      <c r="E197" s="42"/>
      <c r="F197" s="42"/>
      <c r="G197" s="42"/>
      <c r="H197" s="42"/>
    </row>
    <row r="198" spans="2:8" x14ac:dyDescent="0.3">
      <c r="B198" s="42"/>
      <c r="C198" s="42"/>
      <c r="D198" s="42"/>
      <c r="E198" s="42"/>
      <c r="F198" s="42"/>
      <c r="G198" s="42"/>
      <c r="H198" s="42"/>
    </row>
    <row r="199" spans="2:8" x14ac:dyDescent="0.3">
      <c r="B199" s="42"/>
      <c r="C199" s="42"/>
      <c r="D199" s="42"/>
      <c r="E199" s="42"/>
      <c r="F199" s="42"/>
      <c r="G199" s="42"/>
      <c r="H199" s="42"/>
    </row>
    <row r="201" spans="2:8" x14ac:dyDescent="0.3">
      <c r="B201" s="33" t="s">
        <v>218</v>
      </c>
    </row>
    <row r="202" spans="2:8" x14ac:dyDescent="0.3">
      <c r="B202" s="33" t="s">
        <v>219</v>
      </c>
      <c r="C202" s="33" t="s">
        <v>220</v>
      </c>
      <c r="D202" s="33" t="s">
        <v>221</v>
      </c>
      <c r="E202" s="33" t="s">
        <v>222</v>
      </c>
    </row>
    <row r="203" spans="2:8" x14ac:dyDescent="0.3">
      <c r="B203" s="33" t="s">
        <v>226</v>
      </c>
      <c r="C203" s="33" t="s">
        <v>223</v>
      </c>
      <c r="D203" s="33" t="s">
        <v>224</v>
      </c>
      <c r="E203" s="33" t="s">
        <v>225</v>
      </c>
    </row>
    <row r="204" spans="2:8" x14ac:dyDescent="0.3">
      <c r="B204" s="33" t="s">
        <v>227</v>
      </c>
      <c r="C204" s="33" t="s">
        <v>227</v>
      </c>
      <c r="D204" s="33" t="s">
        <v>236</v>
      </c>
      <c r="E204" s="33" t="s">
        <v>227</v>
      </c>
      <c r="F204" s="33" t="s">
        <v>228</v>
      </c>
    </row>
    <row r="205" spans="2:8" x14ac:dyDescent="0.3">
      <c r="B205" s="33" t="s">
        <v>237</v>
      </c>
    </row>
    <row r="206" spans="2:8" x14ac:dyDescent="0.3">
      <c r="B206" s="33" t="s">
        <v>238</v>
      </c>
    </row>
    <row r="207" spans="2:8" x14ac:dyDescent="0.3">
      <c r="B207" s="33" t="s">
        <v>229</v>
      </c>
    </row>
    <row r="208" spans="2:8" x14ac:dyDescent="0.3">
      <c r="B208" s="33" t="s">
        <v>230</v>
      </c>
      <c r="F208" s="33" t="s">
        <v>268</v>
      </c>
    </row>
    <row r="209" spans="2:6" x14ac:dyDescent="0.3">
      <c r="F209" s="33" t="s">
        <v>269</v>
      </c>
    </row>
    <row r="210" spans="2:6" x14ac:dyDescent="0.3">
      <c r="F210" s="33" t="s">
        <v>270</v>
      </c>
    </row>
    <row r="211" spans="2:6" x14ac:dyDescent="0.3">
      <c r="B211" s="33" t="s">
        <v>231</v>
      </c>
      <c r="F211" s="33" t="s">
        <v>271</v>
      </c>
    </row>
    <row r="212" spans="2:6" x14ac:dyDescent="0.3">
      <c r="C212" s="33" t="s">
        <v>232</v>
      </c>
      <c r="F212" s="33" t="s">
        <v>272</v>
      </c>
    </row>
    <row r="213" spans="2:6" x14ac:dyDescent="0.3">
      <c r="B213" s="33" t="s">
        <v>233</v>
      </c>
      <c r="D213" s="48" t="s">
        <v>279</v>
      </c>
      <c r="F213" s="33" t="s">
        <v>273</v>
      </c>
    </row>
    <row r="214" spans="2:6" x14ac:dyDescent="0.3">
      <c r="B214" s="33" t="s">
        <v>234</v>
      </c>
      <c r="D214" s="48" t="s">
        <v>291</v>
      </c>
      <c r="F214" s="33" t="s">
        <v>274</v>
      </c>
    </row>
    <row r="215" spans="2:6" x14ac:dyDescent="0.3">
      <c r="B215" s="33" t="s">
        <v>235</v>
      </c>
      <c r="D215" s="48" t="s">
        <v>280</v>
      </c>
      <c r="F215" s="33" t="s">
        <v>275</v>
      </c>
    </row>
    <row r="216" spans="2:6" x14ac:dyDescent="0.3">
      <c r="D216" s="48" t="s">
        <v>281</v>
      </c>
    </row>
    <row r="217" spans="2:6" x14ac:dyDescent="0.3">
      <c r="D217" s="48" t="s">
        <v>282</v>
      </c>
    </row>
    <row r="219" spans="2:6" x14ac:dyDescent="0.3">
      <c r="B219" s="33" t="s">
        <v>449</v>
      </c>
    </row>
    <row r="220" spans="2:6" x14ac:dyDescent="0.3">
      <c r="B220" s="33" t="s">
        <v>450</v>
      </c>
    </row>
    <row r="221" spans="2:6" x14ac:dyDescent="0.3">
      <c r="B221" s="33" t="s">
        <v>451</v>
      </c>
    </row>
    <row r="222" spans="2:6" x14ac:dyDescent="0.3">
      <c r="B222" s="33" t="s">
        <v>454</v>
      </c>
    </row>
    <row r="223" spans="2:6" x14ac:dyDescent="0.3">
      <c r="B223" s="33" t="s">
        <v>452</v>
      </c>
    </row>
    <row r="224" spans="2:6" x14ac:dyDescent="0.3">
      <c r="B224" s="33" t="s">
        <v>453</v>
      </c>
    </row>
    <row r="226" spans="2:2" x14ac:dyDescent="0.3">
      <c r="B226" s="33" t="s">
        <v>455</v>
      </c>
    </row>
    <row r="227" spans="2:2" x14ac:dyDescent="0.3">
      <c r="B227" s="33" t="s">
        <v>456</v>
      </c>
    </row>
    <row r="228" spans="2:2" x14ac:dyDescent="0.3">
      <c r="B228" s="33" t="s">
        <v>465</v>
      </c>
    </row>
    <row r="229" spans="2:2" x14ac:dyDescent="0.3">
      <c r="B229" s="33" t="s">
        <v>457</v>
      </c>
    </row>
    <row r="230" spans="2:2" x14ac:dyDescent="0.3">
      <c r="B230" s="33" t="s">
        <v>458</v>
      </c>
    </row>
    <row r="231" spans="2:2" x14ac:dyDescent="0.3">
      <c r="B231" s="33" t="s">
        <v>459</v>
      </c>
    </row>
    <row r="232" spans="2:2" x14ac:dyDescent="0.3">
      <c r="B232" s="33" t="s">
        <v>460</v>
      </c>
    </row>
    <row r="233" spans="2:2" x14ac:dyDescent="0.3">
      <c r="B233" s="33" t="s">
        <v>461</v>
      </c>
    </row>
    <row r="234" spans="2:2" x14ac:dyDescent="0.3">
      <c r="B234" s="33" t="s">
        <v>462</v>
      </c>
    </row>
    <row r="235" spans="2:2" x14ac:dyDescent="0.3">
      <c r="B235" s="33" t="s">
        <v>463</v>
      </c>
    </row>
    <row r="236" spans="2:2" x14ac:dyDescent="0.3">
      <c r="B236" s="33" t="s">
        <v>464</v>
      </c>
    </row>
  </sheetData>
  <mergeCells count="3">
    <mergeCell ref="B1:C1"/>
    <mergeCell ref="D1:E1"/>
    <mergeCell ref="F1:G1"/>
  </mergeCells>
  <phoneticPr fontId="1" type="noConversion"/>
  <conditionalFormatting sqref="D35:D37">
    <cfRule type="duplicateValues" dxfId="1" priority="2"/>
  </conditionalFormatting>
  <conditionalFormatting sqref="D39:D41 D43:D45">
    <cfRule type="duplicateValues" dxfId="0" priority="3"/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메뉴얼</vt:lpstr>
      <vt:lpstr>스킬유형</vt:lpstr>
      <vt:lpstr>Sheet3</vt:lpstr>
      <vt:lpstr>speed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2006-09-13T11:19:49Z</dcterms:created>
  <dcterms:modified xsi:type="dcterms:W3CDTF">2016-07-21T09:37:31Z</dcterms:modified>
</cp:coreProperties>
</file>